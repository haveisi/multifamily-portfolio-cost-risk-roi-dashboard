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e16fde91b61c5/D/ESG/GRESB project/"/>
    </mc:Choice>
  </mc:AlternateContent>
  <xr:revisionPtr revIDLastSave="88" documentId="8_{A3EDA76C-CAFF-429B-805E-4FCA4FDB3C9A}" xr6:coauthVersionLast="47" xr6:coauthVersionMax="47" xr10:uidLastSave="{BBD478B3-825A-4AFB-AE15-8A7642D406EA}"/>
  <bookViews>
    <workbookView xWindow="-120" yWindow="-120" windowWidth="29040" windowHeight="15720" activeTab="2" xr2:uid="{58D8C0F5-1738-40B1-8052-9EE5A7F5E939}"/>
  </bookViews>
  <sheets>
    <sheet name="01_asset_master" sheetId="1" r:id="rId1"/>
    <sheet name="02_energy_monthly" sheetId="14" r:id="rId2"/>
    <sheet name="02_energy_summary" sheetId="26" r:id="rId3"/>
    <sheet name="03_water_monthly" sheetId="17" r:id="rId4"/>
    <sheet name="04_waste_monthly " sheetId="18" r:id="rId5"/>
    <sheet name="05_emission_factors " sheetId="19" r:id="rId6"/>
    <sheet name="06_benchmark_data " sheetId="20" r:id="rId7"/>
    <sheet name="07_community_acs " sheetId="21" r:id="rId8"/>
    <sheet name="08_climate_risk_fema " sheetId="22" r:id="rId9"/>
    <sheet name="09_ej_cejst " sheetId="23" r:id="rId10"/>
    <sheet name="10_retrofit_options " sheetId="24" r:id="rId11"/>
    <sheet name="11_gresb_readiness" sheetId="25" r:id="rId12"/>
    <sheet name="12_financial_analysis" sheetId="12" r:id="rId13"/>
    <sheet name="13_priority_matrix" sheetId="13" r:id="rId14"/>
    <sheet name="Annual_Check" sheetId="15" r:id="rId15"/>
    <sheet name="Sources" sheetId="16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6" l="1"/>
  <c r="B4" i="26"/>
  <c r="B5" i="26"/>
  <c r="B6" i="26"/>
  <c r="B7" i="26"/>
  <c r="B8" i="26"/>
  <c r="B9" i="26"/>
  <c r="B10" i="26"/>
  <c r="B11" i="26"/>
  <c r="B2" i="26"/>
  <c r="D3" i="26"/>
  <c r="D4" i="26"/>
  <c r="D5" i="26"/>
  <c r="D6" i="26"/>
  <c r="D7" i="26"/>
  <c r="D8" i="26"/>
  <c r="D9" i="26"/>
  <c r="D10" i="26"/>
  <c r="D11" i="26"/>
  <c r="D2" i="26"/>
  <c r="C3" i="26"/>
  <c r="C4" i="26"/>
  <c r="C5" i="26"/>
  <c r="C6" i="26"/>
  <c r="C7" i="26"/>
  <c r="C8" i="26"/>
  <c r="C9" i="26"/>
  <c r="C10" i="26"/>
  <c r="C11" i="26"/>
  <c r="C2" i="26"/>
  <c r="A2" i="14"/>
  <c r="AB94" i="24"/>
  <c r="AA94" i="24"/>
  <c r="Z94" i="24"/>
  <c r="Y94" i="24"/>
  <c r="X94" i="24"/>
  <c r="W94" i="24"/>
  <c r="AB93" i="24"/>
  <c r="AA93" i="24"/>
  <c r="Z93" i="24"/>
  <c r="Y93" i="24"/>
  <c r="X93" i="24"/>
  <c r="W93" i="24"/>
  <c r="AB92" i="24"/>
  <c r="AA92" i="24"/>
  <c r="Z92" i="24"/>
  <c r="Y92" i="24"/>
  <c r="X92" i="24"/>
  <c r="W92" i="24"/>
  <c r="AB91" i="24"/>
  <c r="AA91" i="24"/>
  <c r="Z91" i="24"/>
  <c r="Y91" i="24"/>
  <c r="X91" i="24"/>
  <c r="W91" i="24"/>
  <c r="AB90" i="24"/>
  <c r="AA90" i="24"/>
  <c r="Z90" i="24"/>
  <c r="Y90" i="24"/>
  <c r="X90" i="24"/>
  <c r="W90" i="24"/>
  <c r="AB89" i="24"/>
  <c r="AA89" i="24"/>
  <c r="Z89" i="24"/>
  <c r="Y89" i="24"/>
  <c r="X89" i="24"/>
  <c r="W89" i="24"/>
  <c r="AB88" i="24"/>
  <c r="AA88" i="24"/>
  <c r="Z88" i="24"/>
  <c r="Y88" i="24"/>
  <c r="X88" i="24"/>
  <c r="W88" i="24"/>
  <c r="AB87" i="24"/>
  <c r="AA87" i="24"/>
  <c r="Z87" i="24"/>
  <c r="Y87" i="24"/>
  <c r="X87" i="24"/>
  <c r="W87" i="24"/>
  <c r="AB86" i="24"/>
  <c r="AA86" i="24"/>
  <c r="Z86" i="24"/>
  <c r="Y86" i="24"/>
  <c r="X86" i="24"/>
  <c r="W86" i="24"/>
  <c r="AB85" i="24"/>
  <c r="AA85" i="24"/>
  <c r="Z85" i="24"/>
  <c r="Y85" i="24"/>
  <c r="X85" i="24"/>
  <c r="W85" i="24"/>
  <c r="AB84" i="24"/>
  <c r="AA84" i="24"/>
  <c r="Z84" i="24"/>
  <c r="Y84" i="24"/>
  <c r="X84" i="24"/>
  <c r="W84" i="24"/>
  <c r="AB83" i="24"/>
  <c r="AA83" i="24"/>
  <c r="Z83" i="24"/>
  <c r="Y83" i="24"/>
  <c r="X83" i="24"/>
  <c r="W83" i="24"/>
  <c r="AB82" i="24"/>
  <c r="AA82" i="24"/>
  <c r="Z82" i="24"/>
  <c r="Y82" i="24"/>
  <c r="X82" i="24"/>
  <c r="W82" i="24"/>
  <c r="AB81" i="24"/>
  <c r="AA81" i="24"/>
  <c r="Z81" i="24"/>
  <c r="Y81" i="24"/>
  <c r="X81" i="24"/>
  <c r="W81" i="24"/>
  <c r="AB80" i="24"/>
  <c r="AA80" i="24"/>
  <c r="Z80" i="24"/>
  <c r="Y80" i="24"/>
  <c r="X80" i="24"/>
  <c r="W80" i="24"/>
  <c r="AB79" i="24"/>
  <c r="AA79" i="24"/>
  <c r="Z79" i="24"/>
  <c r="Y79" i="24"/>
  <c r="X79" i="24"/>
  <c r="W79" i="24"/>
  <c r="AB78" i="24"/>
  <c r="AA78" i="24"/>
  <c r="Z78" i="24"/>
  <c r="Y78" i="24"/>
  <c r="X78" i="24"/>
  <c r="W78" i="24"/>
  <c r="AB77" i="24"/>
  <c r="AA77" i="24"/>
  <c r="Z77" i="24"/>
  <c r="Y77" i="24"/>
  <c r="X77" i="24"/>
  <c r="W77" i="24"/>
  <c r="AB76" i="24"/>
  <c r="AA76" i="24"/>
  <c r="Z76" i="24"/>
  <c r="Y76" i="24"/>
  <c r="X76" i="24"/>
  <c r="W76" i="24"/>
  <c r="AB75" i="24"/>
  <c r="AA75" i="24"/>
  <c r="Z75" i="24"/>
  <c r="Y75" i="24"/>
  <c r="X75" i="24"/>
  <c r="W75" i="24"/>
  <c r="AB74" i="24"/>
  <c r="AA74" i="24"/>
  <c r="Z74" i="24"/>
  <c r="Y74" i="24"/>
  <c r="X74" i="24"/>
  <c r="W74" i="24"/>
  <c r="AB73" i="24"/>
  <c r="AA73" i="24"/>
  <c r="Z73" i="24"/>
  <c r="Y73" i="24"/>
  <c r="X73" i="24"/>
  <c r="W73" i="24"/>
  <c r="AB72" i="24"/>
  <c r="AA72" i="24"/>
  <c r="Z72" i="24"/>
  <c r="Y72" i="24"/>
  <c r="X72" i="24"/>
  <c r="W72" i="24"/>
  <c r="AB71" i="24"/>
  <c r="AA71" i="24"/>
  <c r="Z71" i="24"/>
  <c r="Y71" i="24"/>
  <c r="X71" i="24"/>
  <c r="W71" i="24"/>
  <c r="AB70" i="24"/>
  <c r="AA70" i="24"/>
  <c r="Z70" i="24"/>
  <c r="Y70" i="24"/>
  <c r="X70" i="24"/>
  <c r="W70" i="24"/>
  <c r="AB69" i="24"/>
  <c r="AA69" i="24"/>
  <c r="Z69" i="24"/>
  <c r="Y69" i="24"/>
  <c r="X69" i="24"/>
  <c r="W69" i="24"/>
  <c r="AB68" i="24"/>
  <c r="AA68" i="24"/>
  <c r="Z68" i="24"/>
  <c r="Y68" i="24"/>
  <c r="X68" i="24"/>
  <c r="W68" i="24"/>
  <c r="AB67" i="24"/>
  <c r="AA67" i="24"/>
  <c r="Z67" i="24"/>
  <c r="Y67" i="24"/>
  <c r="X67" i="24"/>
  <c r="W67" i="24"/>
  <c r="AB66" i="24"/>
  <c r="AA66" i="24"/>
  <c r="Z66" i="24"/>
  <c r="Y66" i="24"/>
  <c r="X66" i="24"/>
  <c r="W66" i="24"/>
  <c r="AB65" i="24"/>
  <c r="AA65" i="24"/>
  <c r="Z65" i="24"/>
  <c r="Y65" i="24"/>
  <c r="X65" i="24"/>
  <c r="W65" i="24"/>
  <c r="AB64" i="24"/>
  <c r="AA64" i="24"/>
  <c r="Z64" i="24"/>
  <c r="Y64" i="24"/>
  <c r="X64" i="24"/>
  <c r="W64" i="24"/>
  <c r="AB63" i="24"/>
  <c r="AA63" i="24"/>
  <c r="Z63" i="24"/>
  <c r="Y63" i="24"/>
  <c r="X63" i="24"/>
  <c r="W63" i="24"/>
  <c r="AB62" i="24"/>
  <c r="AA62" i="24"/>
  <c r="Z62" i="24"/>
  <c r="Y62" i="24"/>
  <c r="X62" i="24"/>
  <c r="W62" i="24"/>
  <c r="AB61" i="24"/>
  <c r="AA61" i="24"/>
  <c r="Z61" i="24"/>
  <c r="Y61" i="24"/>
  <c r="X61" i="24"/>
  <c r="W61" i="24"/>
  <c r="AB60" i="24"/>
  <c r="AA60" i="24"/>
  <c r="Z60" i="24"/>
  <c r="Y60" i="24"/>
  <c r="X60" i="24"/>
  <c r="W60" i="24"/>
  <c r="AB59" i="24"/>
  <c r="AA59" i="24"/>
  <c r="Z59" i="24"/>
  <c r="Y59" i="24"/>
  <c r="X59" i="24"/>
  <c r="W59" i="24"/>
  <c r="AB58" i="24"/>
  <c r="AA58" i="24"/>
  <c r="Z58" i="24"/>
  <c r="Y58" i="24"/>
  <c r="X58" i="24"/>
  <c r="W58" i="24"/>
  <c r="AB57" i="24"/>
  <c r="AA57" i="24"/>
  <c r="Z57" i="24"/>
  <c r="Y57" i="24"/>
  <c r="X57" i="24"/>
  <c r="W57" i="24"/>
  <c r="AB56" i="24"/>
  <c r="AA56" i="24"/>
  <c r="Z56" i="24"/>
  <c r="Y56" i="24"/>
  <c r="X56" i="24"/>
  <c r="W56" i="24"/>
  <c r="AB55" i="24"/>
  <c r="AA55" i="24"/>
  <c r="Z55" i="24"/>
  <c r="Y55" i="24"/>
  <c r="X55" i="24"/>
  <c r="W55" i="24"/>
  <c r="AB54" i="24"/>
  <c r="AA54" i="24"/>
  <c r="Z54" i="24"/>
  <c r="Y54" i="24"/>
  <c r="X54" i="24"/>
  <c r="W54" i="24"/>
  <c r="AB53" i="24"/>
  <c r="AA53" i="24"/>
  <c r="Z53" i="24"/>
  <c r="Y53" i="24"/>
  <c r="X53" i="24"/>
  <c r="W53" i="24"/>
  <c r="AB52" i="24"/>
  <c r="AA52" i="24"/>
  <c r="Z52" i="24"/>
  <c r="Y52" i="24"/>
  <c r="X52" i="24"/>
  <c r="W52" i="24"/>
  <c r="AB51" i="24"/>
  <c r="AA51" i="24"/>
  <c r="Z51" i="24"/>
  <c r="Y51" i="24"/>
  <c r="X51" i="24"/>
  <c r="W51" i="24"/>
  <c r="AB50" i="24"/>
  <c r="AA50" i="24"/>
  <c r="Z50" i="24"/>
  <c r="Y50" i="24"/>
  <c r="X50" i="24"/>
  <c r="W50" i="24"/>
  <c r="AB49" i="24"/>
  <c r="AA49" i="24"/>
  <c r="Z49" i="24"/>
  <c r="Y49" i="24"/>
  <c r="X49" i="24"/>
  <c r="W49" i="24"/>
  <c r="AB48" i="24"/>
  <c r="AA48" i="24"/>
  <c r="Z48" i="24"/>
  <c r="Y48" i="24"/>
  <c r="X48" i="24"/>
  <c r="W48" i="24"/>
  <c r="AB47" i="24"/>
  <c r="AA47" i="24"/>
  <c r="Z47" i="24"/>
  <c r="Y47" i="24"/>
  <c r="X47" i="24"/>
  <c r="W47" i="24"/>
  <c r="AB46" i="24"/>
  <c r="AA46" i="24"/>
  <c r="Z46" i="24"/>
  <c r="Y46" i="24"/>
  <c r="X46" i="24"/>
  <c r="W46" i="24"/>
  <c r="AB45" i="24"/>
  <c r="AA45" i="24"/>
  <c r="Z45" i="24"/>
  <c r="Y45" i="24"/>
  <c r="X45" i="24"/>
  <c r="W45" i="24"/>
  <c r="AB44" i="24"/>
  <c r="AA44" i="24"/>
  <c r="Z44" i="24"/>
  <c r="Y44" i="24"/>
  <c r="X44" i="24"/>
  <c r="W44" i="24"/>
  <c r="AB43" i="24"/>
  <c r="AA43" i="24"/>
  <c r="Z43" i="24"/>
  <c r="Y43" i="24"/>
  <c r="X43" i="24"/>
  <c r="W43" i="24"/>
  <c r="AB42" i="24"/>
  <c r="AA42" i="24"/>
  <c r="Z42" i="24"/>
  <c r="Y42" i="24"/>
  <c r="X42" i="24"/>
  <c r="W42" i="24"/>
  <c r="AB41" i="24"/>
  <c r="AA41" i="24"/>
  <c r="Z41" i="24"/>
  <c r="Y41" i="24"/>
  <c r="X41" i="24"/>
  <c r="W41" i="24"/>
  <c r="AB40" i="24"/>
  <c r="AA40" i="24"/>
  <c r="Z40" i="24"/>
  <c r="Y40" i="24"/>
  <c r="X40" i="24"/>
  <c r="W40" i="24"/>
  <c r="AB39" i="24"/>
  <c r="AA39" i="24"/>
  <c r="Z39" i="24"/>
  <c r="Y39" i="24"/>
  <c r="X39" i="24"/>
  <c r="W39" i="24"/>
  <c r="AB38" i="24"/>
  <c r="AA38" i="24"/>
  <c r="Z38" i="24"/>
  <c r="Y38" i="24"/>
  <c r="X38" i="24"/>
  <c r="W38" i="24"/>
  <c r="AB37" i="24"/>
  <c r="AA37" i="24"/>
  <c r="Z37" i="24"/>
  <c r="Y37" i="24"/>
  <c r="X37" i="24"/>
  <c r="W37" i="24"/>
  <c r="AB36" i="24"/>
  <c r="AA36" i="24"/>
  <c r="Z36" i="24"/>
  <c r="Y36" i="24"/>
  <c r="X36" i="24"/>
  <c r="W36" i="24"/>
  <c r="AB35" i="24"/>
  <c r="AA35" i="24"/>
  <c r="Z35" i="24"/>
  <c r="Y35" i="24"/>
  <c r="X35" i="24"/>
  <c r="W35" i="24"/>
  <c r="AB34" i="24"/>
  <c r="AA34" i="24"/>
  <c r="Z34" i="24"/>
  <c r="Y34" i="24"/>
  <c r="X34" i="24"/>
  <c r="W34" i="24"/>
  <c r="AB33" i="24"/>
  <c r="AA33" i="24"/>
  <c r="Z33" i="24"/>
  <c r="Y33" i="24"/>
  <c r="X33" i="24"/>
  <c r="W33" i="24"/>
  <c r="AB32" i="24"/>
  <c r="AA32" i="24"/>
  <c r="Z32" i="24"/>
  <c r="Y32" i="24"/>
  <c r="X32" i="24"/>
  <c r="W32" i="24"/>
  <c r="AB31" i="24"/>
  <c r="AA31" i="24"/>
  <c r="Z31" i="24"/>
  <c r="Y31" i="24"/>
  <c r="X31" i="24"/>
  <c r="W31" i="24"/>
  <c r="AB30" i="24"/>
  <c r="AA30" i="24"/>
  <c r="Z30" i="24"/>
  <c r="Y30" i="24"/>
  <c r="X30" i="24"/>
  <c r="W30" i="24"/>
  <c r="AB29" i="24"/>
  <c r="AA29" i="24"/>
  <c r="Z29" i="24"/>
  <c r="Y29" i="24"/>
  <c r="X29" i="24"/>
  <c r="W29" i="24"/>
  <c r="AB28" i="24"/>
  <c r="AA28" i="24"/>
  <c r="Z28" i="24"/>
  <c r="Y28" i="24"/>
  <c r="X28" i="24"/>
  <c r="W28" i="24"/>
  <c r="AB27" i="24"/>
  <c r="AA27" i="24"/>
  <c r="Z27" i="24"/>
  <c r="Y27" i="24"/>
  <c r="X27" i="24"/>
  <c r="W27" i="24"/>
  <c r="AB26" i="24"/>
  <c r="AA26" i="24"/>
  <c r="Z26" i="24"/>
  <c r="Y26" i="24"/>
  <c r="X26" i="24"/>
  <c r="W26" i="24"/>
  <c r="AB25" i="24"/>
  <c r="AA25" i="24"/>
  <c r="Z25" i="24"/>
  <c r="Y25" i="24"/>
  <c r="X25" i="24"/>
  <c r="W25" i="24"/>
  <c r="AB24" i="24"/>
  <c r="AA24" i="24"/>
  <c r="Z24" i="24"/>
  <c r="Y24" i="24"/>
  <c r="X24" i="24"/>
  <c r="W24" i="24"/>
  <c r="AB23" i="24"/>
  <c r="AA23" i="24"/>
  <c r="Z23" i="24"/>
  <c r="Y23" i="24"/>
  <c r="X23" i="24"/>
  <c r="W23" i="24"/>
  <c r="AB22" i="24"/>
  <c r="AA22" i="24"/>
  <c r="Z22" i="24"/>
  <c r="Y22" i="24"/>
  <c r="X22" i="24"/>
  <c r="W22" i="24"/>
  <c r="AB21" i="24"/>
  <c r="AA21" i="24"/>
  <c r="Z21" i="24"/>
  <c r="Y21" i="24"/>
  <c r="X21" i="24"/>
  <c r="W21" i="24"/>
  <c r="AB20" i="24"/>
  <c r="AA20" i="24"/>
  <c r="Z20" i="24"/>
  <c r="Y20" i="24"/>
  <c r="X20" i="24"/>
  <c r="W20" i="24"/>
  <c r="AB19" i="24"/>
  <c r="AA19" i="24"/>
  <c r="Z19" i="24"/>
  <c r="Y19" i="24"/>
  <c r="X19" i="24"/>
  <c r="W19" i="24"/>
  <c r="AB18" i="24"/>
  <c r="AA18" i="24"/>
  <c r="Z18" i="24"/>
  <c r="Y18" i="24"/>
  <c r="X18" i="24"/>
  <c r="W18" i="24"/>
  <c r="AB17" i="24"/>
  <c r="AA17" i="24"/>
  <c r="Z17" i="24"/>
  <c r="Y17" i="24"/>
  <c r="X17" i="24"/>
  <c r="W17" i="24"/>
  <c r="AB16" i="24"/>
  <c r="AA16" i="24"/>
  <c r="Z16" i="24"/>
  <c r="Y16" i="24"/>
  <c r="X16" i="24"/>
  <c r="W16" i="24"/>
  <c r="AB15" i="24"/>
  <c r="AA15" i="24"/>
  <c r="Z15" i="24"/>
  <c r="Y15" i="24"/>
  <c r="X15" i="24"/>
  <c r="W15" i="24"/>
  <c r="AB14" i="24"/>
  <c r="AA14" i="24"/>
  <c r="Z14" i="24"/>
  <c r="Y14" i="24"/>
  <c r="X14" i="24"/>
  <c r="W14" i="24"/>
  <c r="AB13" i="24"/>
  <c r="AA13" i="24"/>
  <c r="Z13" i="24"/>
  <c r="Y13" i="24"/>
  <c r="X13" i="24"/>
  <c r="W13" i="24"/>
  <c r="AB12" i="24"/>
  <c r="AA12" i="24"/>
  <c r="Z12" i="24"/>
  <c r="Y12" i="24"/>
  <c r="X12" i="24"/>
  <c r="W12" i="24"/>
  <c r="AB11" i="24"/>
  <c r="AA11" i="24"/>
  <c r="Z11" i="24"/>
  <c r="Y11" i="24"/>
  <c r="X11" i="24"/>
  <c r="W11" i="24"/>
  <c r="AB10" i="24"/>
  <c r="AA10" i="24"/>
  <c r="Z10" i="24"/>
  <c r="Y10" i="24"/>
  <c r="X10" i="24"/>
  <c r="W10" i="24"/>
  <c r="AB9" i="24"/>
  <c r="AA9" i="24"/>
  <c r="Z9" i="24"/>
  <c r="Y9" i="24"/>
  <c r="X9" i="24"/>
  <c r="W9" i="24"/>
  <c r="AB8" i="24"/>
  <c r="AA8" i="24"/>
  <c r="Z8" i="24"/>
  <c r="Y8" i="24"/>
  <c r="X8" i="24"/>
  <c r="W8" i="24"/>
  <c r="AB7" i="24"/>
  <c r="AA7" i="24"/>
  <c r="Z7" i="24"/>
  <c r="Y7" i="24"/>
  <c r="X7" i="24"/>
  <c r="W7" i="24"/>
  <c r="AB6" i="24"/>
  <c r="AA6" i="24"/>
  <c r="Z6" i="24"/>
  <c r="Y6" i="24"/>
  <c r="X6" i="24"/>
  <c r="W6" i="24"/>
  <c r="AB5" i="24"/>
  <c r="AA5" i="24"/>
  <c r="Z5" i="24"/>
  <c r="Y5" i="24"/>
  <c r="X5" i="24"/>
  <c r="W5" i="24"/>
</calcChain>
</file>

<file path=xl/sharedStrings.xml><?xml version="1.0" encoding="utf-8"?>
<sst xmlns="http://schemas.openxmlformats.org/spreadsheetml/2006/main" count="4152" uniqueCount="542">
  <si>
    <t>property_id</t>
  </si>
  <si>
    <t>property_name</t>
  </si>
  <si>
    <t>city</t>
  </si>
  <si>
    <t>state</t>
  </si>
  <si>
    <t>county</t>
  </si>
  <si>
    <t>year_built</t>
  </si>
  <si>
    <t>gross_floor_area_sqft</t>
  </si>
  <si>
    <t>units</t>
  </si>
  <si>
    <t>occupancy_rate</t>
  </si>
  <si>
    <t>affordable_units_pct</t>
  </si>
  <si>
    <t>property_type</t>
  </si>
  <si>
    <t>month</t>
  </si>
  <si>
    <t>electricity_kwh</t>
  </si>
  <si>
    <t>natural_gas_therms</t>
  </si>
  <si>
    <t>electricity_cost_usd</t>
  </si>
  <si>
    <t>natural_gas_cost_usd</t>
  </si>
  <si>
    <t>data_quality</t>
  </si>
  <si>
    <t>owner_or_tenant_paid</t>
  </si>
  <si>
    <t>capital_cost_usd</t>
  </si>
  <si>
    <t>useful_life_years</t>
  </si>
  <si>
    <t>implementation_difficulty</t>
  </si>
  <si>
    <t>eligible_incentive_usd</t>
  </si>
  <si>
    <t>WI-MF-01</t>
  </si>
  <si>
    <t>Riverbend Apartments</t>
  </si>
  <si>
    <t>Madison</t>
  </si>
  <si>
    <t>Dane</t>
  </si>
  <si>
    <t>WI</t>
  </si>
  <si>
    <t>Multifamily</t>
  </si>
  <si>
    <t>WI-MF-02</t>
  </si>
  <si>
    <t>Lakeview Terrace</t>
  </si>
  <si>
    <t>Milwaukee</t>
  </si>
  <si>
    <t>WI-MF-03</t>
  </si>
  <si>
    <t>Northside Commons</t>
  </si>
  <si>
    <t>Green Bay</t>
  </si>
  <si>
    <t>Brown</t>
  </si>
  <si>
    <t>WI-MF-04</t>
  </si>
  <si>
    <t>Badger Ridge Homes</t>
  </si>
  <si>
    <t>Wausau</t>
  </si>
  <si>
    <t>Marathon</t>
  </si>
  <si>
    <t>WI-MF-05</t>
  </si>
  <si>
    <t>Oak Street Lofts</t>
  </si>
  <si>
    <t>Eau Claire</t>
  </si>
  <si>
    <t>WI-MF-06</t>
  </si>
  <si>
    <t>South Park Apartments</t>
  </si>
  <si>
    <t>Racine</t>
  </si>
  <si>
    <t>WI-MF-07</t>
  </si>
  <si>
    <t>Fox River Flats</t>
  </si>
  <si>
    <t>Appleton</t>
  </si>
  <si>
    <t>Outagamie</t>
  </si>
  <si>
    <t>WI-MF-08</t>
  </si>
  <si>
    <t>Prairie View Residences</t>
  </si>
  <si>
    <t>La Crosse</t>
  </si>
  <si>
    <t>WI-MF-09</t>
  </si>
  <si>
    <t>Capitol Square Homes</t>
  </si>
  <si>
    <t>WI-MF-10</t>
  </si>
  <si>
    <t>Harbor Point Apartments</t>
  </si>
  <si>
    <t>Kenosha</t>
  </si>
  <si>
    <t>2025-01</t>
  </si>
  <si>
    <t>Actual</t>
  </si>
  <si>
    <t>2025-02</t>
  </si>
  <si>
    <t>2025-03</t>
  </si>
  <si>
    <t>2025-04</t>
  </si>
  <si>
    <t>total_energy_kbtu</t>
  </si>
  <si>
    <t>assumed_annual_site_eui_kbtu_sqft</t>
  </si>
  <si>
    <t>months_available</t>
  </si>
  <si>
    <t>source_note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</si>
  <si>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</si>
  <si>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</si>
  <si>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</si>
  <si>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</si>
  <si>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</si>
  <si>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</si>
  <si>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</si>
  <si>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</si>
  <si>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annual_electricity_kwh</t>
  </si>
  <si>
    <t>annual_natural_gas_therms</t>
  </si>
  <si>
    <t>annual_total_energy_kbtu</t>
  </si>
  <si>
    <t>Definition: energy per square foot per year.</t>
  </si>
  <si>
    <t>https://www.energystar.gov/buildings/benchmark/understand-metrics/what-eui</t>
  </si>
  <si>
    <t>ENERGY STAR What is EUI?</t>
  </si>
  <si>
    <t>Reference benchmark table for median EUI by property type.</t>
  </si>
  <si>
    <t>https://portfoliomanager.energystar.gov/pdf/reference/US%20National%20Median%20Table.pdf</t>
  </si>
  <si>
    <t>ENERGY STAR U.S. National Median Table</t>
  </si>
  <si>
    <t>Benchmark context for multifamily Site EUI; aggregate anonymous data, not property utility bills.</t>
  </si>
  <si>
    <t>https://portfoliomanager.energystar.gov/dataExplorer/</t>
  </si>
  <si>
    <t>ENERGY STAR Portfolio Manager Data Explorer</t>
  </si>
  <si>
    <t>Use in Tab 02</t>
  </si>
  <si>
    <t>URL</t>
  </si>
  <si>
    <t>Source</t>
  </si>
  <si>
    <t>water_gallons</t>
  </si>
  <si>
    <t>water_cost_usd</t>
  </si>
  <si>
    <t>sewer_cost_usd</t>
  </si>
  <si>
    <t>total_water_sewer_cost_usd</t>
  </si>
  <si>
    <t>irrigation_included</t>
  </si>
  <si>
    <t>gallons_per_unit_month</t>
  </si>
  <si>
    <t>notes</t>
  </si>
  <si>
    <t>2025-01-01</t>
  </si>
  <si>
    <t>No</t>
  </si>
  <si>
    <t>Owner/Paid by property</t>
  </si>
  <si>
    <t>Simulated using EPA 82 gal/person/day reference; replace with water bills/Portfolio Manager export for real diligence.</t>
  </si>
  <si>
    <t>2025-02-01</t>
  </si>
  <si>
    <t>2025-03-01</t>
  </si>
  <si>
    <t>2025-04-01</t>
  </si>
  <si>
    <t>2025-05-01</t>
  </si>
  <si>
    <t>Yes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</si>
  <si>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</si>
  <si>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</si>
  <si>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</si>
  <si>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</si>
  <si>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</si>
  <si>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</si>
  <si>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</si>
  <si>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Estimated</t>
  </si>
  <si>
    <t>landfill_tons</t>
  </si>
  <si>
    <t>recycling_tons</t>
  </si>
  <si>
    <t>compost_tons</t>
  </si>
  <si>
    <t>total_waste_tons</t>
  </si>
  <si>
    <t>waste_cost_usd</t>
  </si>
  <si>
    <t>vendor</t>
  </si>
  <si>
    <t>waste_lbs_per_unit_month</t>
  </si>
  <si>
    <t>diversion_rate</t>
  </si>
  <si>
    <t>Waste Management</t>
  </si>
  <si>
    <t>Simulated property-level waste stream; structure aligns with ENERGY STAR Portfolio Manager waste tracking and EPA WARM materials-management categories.</t>
  </si>
  <si>
    <t>GFL Environmental</t>
  </si>
  <si>
    <t>Republic Services</t>
  </si>
  <si>
    <t>Harter's Fox Valley Disposal</t>
  </si>
  <si>
    <t>Johns Disposal</t>
  </si>
  <si>
    <t>Hilltopper Refuse</t>
  </si>
  <si>
    <t>Not needed for your current 10-property data unless district energy exists</t>
  </si>
  <si>
    <t>Use only if a property buys district steam/heat</t>
  </si>
  <si>
    <t>https://www.epa.gov/climateleadership/ghg-emission-factors-hub</t>
  </si>
  <si>
    <t>EPA steam/heat factor assumes natural gas fuel at 80% thermal efficiency</t>
  </si>
  <si>
    <t>kg CO2e/MMBtu</t>
  </si>
  <si>
    <t>MMBtu</t>
  </si>
  <si>
    <t>Scope 2 or Scope 3 depending accounting boundary</t>
  </si>
  <si>
    <t>Purchased steam/heat</t>
  </si>
  <si>
    <t>United States</t>
  </si>
  <si>
    <t>EPA GHG Emission Factors Hub</t>
  </si>
  <si>
    <t>EF-STEAM-HEAT</t>
  </si>
  <si>
    <t>Combustion emissions only; does not include upstream gas leakage</t>
  </si>
  <si>
    <t>Default factor for natural gas used by multifamily buildings</t>
  </si>
  <si>
    <t>1 therm = 0.1 MMBtu. EPA factors: 53.06 kg CO2/MMBtu, 1.0 g CH4/MMBtu, 0.10 g N2O/MMBtu; GWP CH4=28, N2O=265</t>
  </si>
  <si>
    <t>kg CO2e/therm</t>
  </si>
  <si>
    <t>therm</t>
  </si>
  <si>
    <t>Scope 1</t>
  </si>
  <si>
    <t>Natural gas stationary combustion</t>
  </si>
  <si>
    <t>EF-NG-US-THERM</t>
  </si>
  <si>
    <t>State/subregion factor is more defensible</t>
  </si>
  <si>
    <t>Benchmark/sensitivity only; do not use as default for Wisconsin</t>
  </si>
  <si>
    <t>https://www.epa.gov/egrid/summary-data</t>
  </si>
  <si>
    <t>Converted from 770.9 lb CO2e/MWh</t>
  </si>
  <si>
    <t>kg CO2e/kWh</t>
  </si>
  <si>
    <t>kWh</t>
  </si>
  <si>
    <t>Scope 2 location-based</t>
  </si>
  <si>
    <t>Purchased electricity</t>
  </si>
  <si>
    <t>United States average</t>
  </si>
  <si>
    <t>EPA eGRID Summary Tables</t>
  </si>
  <si>
    <t>EF-ELEC-US</t>
  </si>
  <si>
    <t>Use only if property is in this eGRID subregion</t>
  </si>
  <si>
    <t>Optional sensitivity factor for Wisconsin properties in RFC West territory</t>
  </si>
  <si>
    <t>Converted from 916.1 lb CO2e/MWh</t>
  </si>
  <si>
    <t>RFCW / RFC West eGRID subregion</t>
  </si>
  <si>
    <t>EF-ELEC-RFCW</t>
  </si>
  <si>
    <t>Optional sensitivity factor for Wisconsin properties in MRO West territory</t>
  </si>
  <si>
    <t>Converted from 926.6 lb CO2e/MWh</t>
  </si>
  <si>
    <t>MROW / MRO West eGRID subregion</t>
  </si>
  <si>
    <t>EF-ELEC-MROW</t>
  </si>
  <si>
    <t>Use state factor for simplicity; for real client, confirm exact eGRID subregion/utility territory</t>
  </si>
  <si>
    <t>Default factor for all Wisconsin properties in this simulated portfolio</t>
  </si>
  <si>
    <t>Converted from 1,163.6 lb CO2e/MWh using 0.45359237 kg/lb and 1,000 kWh/MWh</t>
  </si>
  <si>
    <t>Wisconsin (state output emission rate)</t>
  </si>
  <si>
    <t>EF-ELEC-WI-STATE</t>
  </si>
  <si>
    <t>quality_note</t>
  </si>
  <si>
    <t>use_in_project</t>
  </si>
  <si>
    <t>source_url</t>
  </si>
  <si>
    <t>conversion_notes</t>
  </si>
  <si>
    <t>co2e_unit</t>
  </si>
  <si>
    <t>co2e_factor</t>
  </si>
  <si>
    <t>n2o_factor</t>
  </si>
  <si>
    <t>ch4_factor</t>
  </si>
  <si>
    <t>co2_factor</t>
  </si>
  <si>
    <t>input_unit</t>
  </si>
  <si>
    <t>scope</t>
  </si>
  <si>
    <t>fuel_or_energy_type</t>
  </si>
  <si>
    <t>geography</t>
  </si>
  <si>
    <t>source_year</t>
  </si>
  <si>
    <t>source_name</t>
  </si>
  <si>
    <t>factor_id</t>
  </si>
  <si>
    <t>benchmark_id</t>
  </si>
  <si>
    <t>category</t>
  </si>
  <si>
    <t>benchmark_metric</t>
  </si>
  <si>
    <t>benchmark_value</t>
  </si>
  <si>
    <t>unit</t>
  </si>
  <si>
    <t>how_to_use</t>
  </si>
  <si>
    <t>BM-MF-SOURCE-EUI-ENERGYSTAR-2024</t>
  </si>
  <si>
    <t>Energy</t>
  </si>
  <si>
    <t>Multifamily Housing</t>
  </si>
  <si>
    <t>National median Source EUI</t>
  </si>
  <si>
    <t>kBtu/sqft/year</t>
  </si>
  <si>
    <t>ENERGY STAR Portfolio Manager U.S. National Median Table</t>
  </si>
  <si>
    <t>Compare portfolio source EUI to national median; source EUI is recommended for equitable comparison across fuel types.</t>
  </si>
  <si>
    <t>Pulled from August 2024 U.S. Energy Use Intensity by Property Type, Multifamily Housing row.</t>
  </si>
  <si>
    <t>BM-MF-SITE-EUI-ENERGYSTAR-2024</t>
  </si>
  <si>
    <t>National median Site EUI</t>
  </si>
  <si>
    <t>Primary benchmark for your simulated monthly energy tab and property-level EUI comparison.</t>
  </si>
  <si>
    <t>BM-MF-REFERENCE-SOURCE</t>
  </si>
  <si>
    <t>Reference</t>
  </si>
  <si>
    <t>Peer comparison reference data source</t>
  </si>
  <si>
    <t>text</t>
  </si>
  <si>
    <t>Fannie Mae Industry Survey via ENERGY STAR</t>
  </si>
  <si>
    <t>Document the peer-group basis for the multifamily benchmark.</t>
  </si>
  <si>
    <t>ENERGY STAR table lists Fannie Mae Industry Survey as the reference data source for Multifamily Housing.</t>
  </si>
  <si>
    <t>BM-MF-SITE-EUI-GOOD-TARGET</t>
  </si>
  <si>
    <t>Internal target</t>
  </si>
  <si>
    <t>Good performance target Site EUI</t>
  </si>
  <si>
    <t>Internal target derived from ENERGY STAR median</t>
  </si>
  <si>
    <t>Flag properties below this level as strong performers for your portfolio project.</t>
  </si>
  <si>
    <t>Analyst-defined target: about 16% below national median Site EUI of 59.6.</t>
  </si>
  <si>
    <t>BM-MF-SITE-EUI-WEAK-THRESHOLD</t>
  </si>
  <si>
    <t>Internal threshold</t>
  </si>
  <si>
    <t>Weak performance threshold Site EUI</t>
  </si>
  <si>
    <t>Internal threshold derived from ENERGY STAR median</t>
  </si>
  <si>
    <t>Flag properties above this level for energy audit or retrofit prioritization.</t>
  </si>
  <si>
    <t>Analyst-defined threshold: about 17% above national median Site EUI of 59.6.</t>
  </si>
  <si>
    <t>BM-DATA-COVERAGE-GOOD</t>
  </si>
  <si>
    <t>Data quality</t>
  </si>
  <si>
    <t>All portfolio assets</t>
  </si>
  <si>
    <t>Good annual utility data coverage</t>
  </si>
  <si>
    <t>share of months with actual data</t>
  </si>
  <si>
    <t>GRESB-style internal readiness threshold</t>
  </si>
  <si>
    <t>https://documents.gresb.com/generated_files/real_estate/2025/real_estate/reference_guide/complete.html</t>
  </si>
  <si>
    <t>Use to score energy/water/waste data completeness in the GRESB readiness tab.</t>
  </si>
  <si>
    <t>Not official GRESB scoring; practical readiness threshold for first-year reporting.</t>
  </si>
  <si>
    <t>BM-DATA-COVERAGE-MIN</t>
  </si>
  <si>
    <t>Minimum usable annual utility data coverage</t>
  </si>
  <si>
    <t>share of months with actual or estimated data</t>
  </si>
  <si>
    <t>Flag assets below this as high data-risk and not ready for credible reporting.</t>
  </si>
  <si>
    <t>Analyst-defined threshold. Use for a simulated readiness model, not official GRESB scoring.</t>
  </si>
  <si>
    <t>BM-WATER-INTENSITY-INTERNAL</t>
  </si>
  <si>
    <t>Water</t>
  </si>
  <si>
    <t>Internal water intensity target</t>
  </si>
  <si>
    <t>gallons/unit/year</t>
  </si>
  <si>
    <t>Internal portfolio target</t>
  </si>
  <si>
    <t>https://www.energystar.gov/buildings/benchmark</t>
  </si>
  <si>
    <t>Use as a working target until actual property/utility water benchmarks are available.</t>
  </si>
  <si>
    <t>Private property water bills are usually required for accurate benchmarking; this is a placeholder target.</t>
  </si>
  <si>
    <t>BM-WASTE-DIVERSION-INTERNAL</t>
  </si>
  <si>
    <t>Waste</t>
  </si>
  <si>
    <t>Internal waste diversion target</t>
  </si>
  <si>
    <t>share of total waste diverted</t>
  </si>
  <si>
    <t>https://www.epa.gov/waste-reduction-model</t>
  </si>
  <si>
    <t>Use as an initial target for waste management performance and improvement planning.</t>
  </si>
  <si>
    <t>Use EPA WARM later for emissions impact of landfill/recycling/compost scenarios.</t>
  </si>
  <si>
    <t>BM-GHG-INTENSITY-INTERNAL</t>
  </si>
  <si>
    <t>GHG</t>
  </si>
  <si>
    <t>Internal GHG intensity target</t>
  </si>
  <si>
    <t>tCO2e/sqft/year</t>
  </si>
  <si>
    <t>Internal portfolio target using EPA emissions factors</t>
  </si>
  <si>
    <t>https://www.epa.gov/egrid</t>
  </si>
  <si>
    <t>Use as a portfolio screening target after calculating Scope 1 and Scope 2 emissions.</t>
  </si>
  <si>
    <t>This target depends on actual fuel mix and EPA eGRID/natural gas factors.</t>
  </si>
  <si>
    <t>https://www.census.gov/quickfacts/fact/table/kenoshacountywisconsin/PST045225</t>
  </si>
  <si>
    <t>U.S. Census Bureau QuickFacts</t>
  </si>
  <si>
    <t>2020-2024 ACS 5-year / QuickFacts V2025</t>
  </si>
  <si>
    <t>At/above WI median</t>
  </si>
  <si>
    <t>Moderate concern</t>
  </si>
  <si>
    <t>Not available in QuickFacts. Pull from ACS B25070/B25091 by census tract or county for true cost-burden rate.</t>
  </si>
  <si>
    <t>County</t>
  </si>
  <si>
    <t>55059</t>
  </si>
  <si>
    <t>https://www.census.gov/quickfacts/fact/table/danecountywisconsin/PST045225</t>
  </si>
  <si>
    <t>55025</t>
  </si>
  <si>
    <t>https://www.census.gov/quickfacts/fact/table/lacrossecountywisconsin/PST045225</t>
  </si>
  <si>
    <t>Below WI median</t>
  </si>
  <si>
    <t>55063</t>
  </si>
  <si>
    <t>https://www.census.gov/quickfacts/fact/table/outagamiecountywisconsin/LND110210</t>
  </si>
  <si>
    <t>Lower concern</t>
  </si>
  <si>
    <t>55087</t>
  </si>
  <si>
    <t>https://www.census.gov/quickfacts/fact/table/racinecountywisconsin/BZA010223</t>
  </si>
  <si>
    <t>55101</t>
  </si>
  <si>
    <t>https://www.census.gov/quickfacts/fact/table/eauclairecountywisconsin/PST045225</t>
  </si>
  <si>
    <t>55035</t>
  </si>
  <si>
    <t>https://www.census.gov/quickfacts/fact/table/marathoncountywisconsin/PST040225</t>
  </si>
  <si>
    <t>55073</t>
  </si>
  <si>
    <t>https://www.census.gov/quickfacts/fact/table/browncountywisconsin/POP060210</t>
  </si>
  <si>
    <t>55009</t>
  </si>
  <si>
    <t>https://www.census.gov/quickfacts/fact/table/milwaukeecountywisconsin/INC110224</t>
  </si>
  <si>
    <t>Higher concern</t>
  </si>
  <si>
    <t>55079</t>
  </si>
  <si>
    <t>income_vs_wi_median_flag</t>
  </si>
  <si>
    <t>social_vulnerability_flag</t>
  </si>
  <si>
    <t>rent_burden_note</t>
  </si>
  <si>
    <t>rent_burden_rate</t>
  </si>
  <si>
    <t>median_gross_rent_usd</t>
  </si>
  <si>
    <t>language_other_than_english_pct</t>
  </si>
  <si>
    <t>population_over_65_pct</t>
  </si>
  <si>
    <t>population_under_5_pct</t>
  </si>
  <si>
    <t>renter_occupied_rate</t>
  </si>
  <si>
    <t>owner_occupied_rate</t>
  </si>
  <si>
    <t>poverty_rate</t>
  </si>
  <si>
    <t>median_household_income_usd_2020_2024</t>
  </si>
  <si>
    <t>geography_level</t>
  </si>
  <si>
    <t>geoid_county</t>
  </si>
  <si>
    <t>County-level community screening for early GRESB/social-risk analysis. Replace with census-tract data once exact property addresses or lat/long are available.</t>
  </si>
  <si>
    <t>07_community_acs — County-level ACS/QuickFacts context for Wisconsin multifamily portfolio</t>
  </si>
  <si>
    <t>overall_risk_score_0_100</t>
  </si>
  <si>
    <t>overall_risk_rating</t>
  </si>
  <si>
    <t>national_percentile</t>
  </si>
  <si>
    <t>expected_annual_loss_musd</t>
  </si>
  <si>
    <t>social_vulnerability_rating</t>
  </si>
  <si>
    <t>community_resilience_rating</t>
  </si>
  <si>
    <t>top_hazard_1</t>
  </si>
  <si>
    <t>top_hazard_1_rating</t>
  </si>
  <si>
    <t>top_hazard_2</t>
  </si>
  <si>
    <t>top_hazard_2_rating</t>
  </si>
  <si>
    <t>top_hazard_3</t>
  </si>
  <si>
    <t>top_hazard_3_rating</t>
  </si>
  <si>
    <t>wi_county_rank_if_available</t>
  </si>
  <si>
    <t>data_granularity</t>
  </si>
  <si>
    <t>source_year_version</t>
  </si>
  <si>
    <t>Medium</t>
  </si>
  <si>
    <t>Not pulled</t>
  </si>
  <si>
    <t>Cold Wave</t>
  </si>
  <si>
    <t>High</t>
  </si>
  <si>
    <t>Hail</t>
  </si>
  <si>
    <t>FEMA NRI v1.20 / December 2025</t>
  </si>
  <si>
    <t>DisasterRiskIndex.com using FEMA NRI / OpenFEMA</t>
  </si>
  <si>
    <t>https://disasterriskindex.com/wisconsin/dane</t>
  </si>
  <si>
    <t>County-level FEMA National Risk Index data; not address-specific. Use property coordinates/tract data for real diligence.</t>
  </si>
  <si>
    <t>Very High</t>
  </si>
  <si>
    <t>Heat Wave</t>
  </si>
  <si>
    <t>Tornado</t>
  </si>
  <si>
    <t>https://disasterriskindex.com/wisconsin/milwaukee</t>
  </si>
  <si>
    <t>Lightning</t>
  </si>
  <si>
    <t>https://disasterriskindex.com/wisconsin/brown</t>
  </si>
  <si>
    <t>https://disasterriskindex.com/wisconsin/marathon</t>
  </si>
  <si>
    <t>Low</t>
  </si>
  <si>
    <t>https://disasterriskindex.com/wisconsin/eau-claire</t>
  </si>
  <si>
    <t>https://disasterriskindex.com/wisconsin/racine</t>
  </si>
  <si>
    <t>https://disasterriskindex.com/wisconsin/outagamie</t>
  </si>
  <si>
    <t>Very Low</t>
  </si>
  <si>
    <t>Landslide</t>
  </si>
  <si>
    <t>https://disasterriskindex.com/wisconsin/la-crosse</t>
  </si>
  <si>
    <t>https://disasterriskindex.com/wisconsin/kenosha</t>
  </si>
  <si>
    <t>address_or_latlong_status</t>
  </si>
  <si>
    <t>census_tract_status</t>
  </si>
  <si>
    <t>cejst_disadvantaged_proxy</t>
  </si>
  <si>
    <t>energy_burden_flag_proxy</t>
  </si>
  <si>
    <t>housing_burden_flag_proxy</t>
  </si>
  <si>
    <t>legacy_pollution_flag_proxy</t>
  </si>
  <si>
    <t>transportation_barrier_flag_proxy</t>
  </si>
  <si>
    <t>water_wastewater_flag_proxy</t>
  </si>
  <si>
    <t>low_income_flag_proxy</t>
  </si>
  <si>
    <t>tribal_or_rural_context_flag</t>
  </si>
  <si>
    <t>priority_lidac_screen</t>
  </si>
  <si>
    <t>data_confidence</t>
  </si>
  <si>
    <t>recommended_next_step</t>
  </si>
  <si>
    <t>source_urls</t>
  </si>
  <si>
    <t>Address/lat-long needed</t>
  </si>
  <si>
    <t>Census tract needed</t>
  </si>
  <si>
    <t>Not indicated by proxy / needs tract confirmation</t>
  </si>
  <si>
    <t>No/Unknown</t>
  </si>
  <si>
    <t>Low - proxy only</t>
  </si>
  <si>
    <t>Geocode property address, join to CEJST Version 2.0 tract data, then replace proxy flags with official tract-level flags.</t>
  </si>
  <si>
    <t>https://public-environmental-data-partners.github.io/j40-cejst-2/en/ ; https://datacatalog.urban.org/dataset/climate-and-economic-justice-screening-tool-data ; https://arcgis.netl.doe.gov/portal/home/item.html?id=a8674b345a7245cab5787e8a0c4dee26</t>
  </si>
  <si>
    <t>For GRESB/community-benefit screening only. Do not use as final LIDAC eligibility evidence.</t>
  </si>
  <si>
    <t>Likely / needs tract confirmation</t>
  </si>
  <si>
    <t>Yes - proxy</t>
  </si>
  <si>
    <t>Review</t>
  </si>
  <si>
    <t>Possible / needs tract confirmation</t>
  </si>
  <si>
    <t>Rural market screen</t>
  </si>
  <si>
    <t>Tab 10 — Retrofit Options: Multifamily ESG / GRESB Improvement Measures</t>
  </si>
  <si>
    <t>Screening-level retrofit options for a simulated 10-property Wisconsin multifamily portfolio. Replace assumptions with contractor quotes, utility program rules, and actual audit data for real due diligence.</t>
  </si>
  <si>
    <t>measure_id</t>
  </si>
  <si>
    <t>measure_name</t>
  </si>
  <si>
    <t>net_cost_usd</t>
  </si>
  <si>
    <t>annual_electricity_savings_kwh</t>
  </si>
  <si>
    <t>annual_gas_savings_therms</t>
  </si>
  <si>
    <t>annual_water_savings_gal</t>
  </si>
  <si>
    <t>annual_cost_savings_usd</t>
  </si>
  <si>
    <t>tenant_benefit_score_1_5</t>
  </si>
  <si>
    <t>owner_benefit_score_1_5</t>
  </si>
  <si>
    <t>ghg_reduction_tco2e_per_year</t>
  </si>
  <si>
    <t>source_basis</t>
  </si>
  <si>
    <t>simple_payback_years</t>
  </si>
  <si>
    <t>lifetime_savings_usd</t>
  </si>
  <si>
    <t>net_lifetime_benefit_usd</t>
  </si>
  <si>
    <t>lifetime_ghg_reduction_tco2e</t>
  </si>
  <si>
    <t>cost_per_tco2e_usd</t>
  </si>
  <si>
    <t>investment_decision</t>
  </si>
  <si>
    <t>WI-MF-01-M01</t>
  </si>
  <si>
    <t>LED common-area lighting retrofit</t>
  </si>
  <si>
    <t>Energy efficiency</t>
  </si>
  <si>
    <t>Focus on Energy Multifamily; Focus on Energy Business Rebates</t>
  </si>
  <si>
    <t>Screening estimate</t>
  </si>
  <si>
    <t>Common-area lighting measure; modeled as electricity savings only.</t>
  </si>
  <si>
    <t>WI-MF-01-M02</t>
  </si>
  <si>
    <t>Boiler tune-up and heating controls</t>
  </si>
  <si>
    <t>Best for older gas-heated multifamily properties; gas savings adjusted by building age.</t>
  </si>
  <si>
    <t>WI-MF-01-M03</t>
  </si>
  <si>
    <t>Smart thermostats / in-unit controls</t>
  </si>
  <si>
    <t>Energy efficiency / tenant comfort</t>
  </si>
  <si>
    <t>Focus on Energy Multifamily; ENERGY STAR Federal Tax Credits</t>
  </si>
  <si>
    <t>Improves comfort and energy management; higher tenant benefit.</t>
  </si>
  <si>
    <t>WI-MF-01-M04</t>
  </si>
  <si>
    <t>Low-flow fixtures and aerators</t>
  </si>
  <si>
    <t>Water efficiency</t>
  </si>
  <si>
    <t>EPA WaterSense Multifamily; Focus on Energy Multifamily</t>
  </si>
  <si>
    <t>Water savings plus small hot-water natural gas savings.</t>
  </si>
  <si>
    <t>WI-MF-01-M05</t>
  </si>
  <si>
    <t>Smart leak detection / water monitoring</t>
  </si>
  <si>
    <t>Water resilience</t>
  </si>
  <si>
    <t>EPA WaterSense Multifamily</t>
  </si>
  <si>
    <t>Reduces leak losses and supports GRESB data-quality/readiness.</t>
  </si>
  <si>
    <t>WI-MF-01-M06</t>
  </si>
  <si>
    <t>Air sealing and weatherization</t>
  </si>
  <si>
    <t>Envelope / resilience</t>
  </si>
  <si>
    <t>Focus on Energy Multifamily; ENERGY STAR Multifamily Housing</t>
  </si>
  <si>
    <t>Improves comfort, winter resilience, and heating efficiency.</t>
  </si>
  <si>
    <t>WI-MF-01-M07</t>
  </si>
  <si>
    <t>Heat pump water heater feasibility / pilot</t>
  </si>
  <si>
    <t>Electrification</t>
  </si>
  <si>
    <t>ENERGY STAR Federal Tax Credits; Focus on Energy Multifamily</t>
  </si>
  <si>
    <t>Modeled as gas reduction with added electricity load; requires feasibility review.</t>
  </si>
  <si>
    <t>WI-MF-01-M08</t>
  </si>
  <si>
    <t>Rooftop solar PV feasibility and partial installation</t>
  </si>
  <si>
    <t>Renewable energy</t>
  </si>
  <si>
    <t>Focus on Energy Solar for Homes; ENERGY STAR Federal Tax Credits</t>
  </si>
  <si>
    <t>Screening-level PV assumption; verify roof area, ownership, tax appetite, and interconnection.</t>
  </si>
  <si>
    <t>WI-MF-01-M09</t>
  </si>
  <si>
    <t>Waste vendor reporting + recycling engagement</t>
  </si>
  <si>
    <t>Waste / tenant engagement</t>
  </si>
  <si>
    <t>EPA WARM; ENERGY STAR Multifamily Housing</t>
  </si>
  <si>
    <t>Primary benefit is GRESB readiness, diversion tracking, and tenant engagement; direct utility savings not modeled.</t>
  </si>
  <si>
    <t>WI-MF-02-M01</t>
  </si>
  <si>
    <t>WI-MF-02-M02</t>
  </si>
  <si>
    <t>WI-MF-02-M03</t>
  </si>
  <si>
    <t>WI-MF-02-M04</t>
  </si>
  <si>
    <t>WI-MF-02-M05</t>
  </si>
  <si>
    <t>WI-MF-02-M06</t>
  </si>
  <si>
    <t>WI-MF-02-M07</t>
  </si>
  <si>
    <t>WI-MF-02-M08</t>
  </si>
  <si>
    <t>WI-MF-02-M09</t>
  </si>
  <si>
    <t>WI-MF-03-M01</t>
  </si>
  <si>
    <t>WI-MF-03-M02</t>
  </si>
  <si>
    <t>WI-MF-03-M03</t>
  </si>
  <si>
    <t>WI-MF-03-M04</t>
  </si>
  <si>
    <t>WI-MF-03-M05</t>
  </si>
  <si>
    <t>WI-MF-03-M06</t>
  </si>
  <si>
    <t>WI-MF-03-M07</t>
  </si>
  <si>
    <t>WI-MF-03-M08</t>
  </si>
  <si>
    <t>WI-MF-03-M09</t>
  </si>
  <si>
    <t>WI-MF-04-M01</t>
  </si>
  <si>
    <t>WI-MF-04-M02</t>
  </si>
  <si>
    <t>WI-MF-04-M03</t>
  </si>
  <si>
    <t>WI-MF-04-M04</t>
  </si>
  <si>
    <t>WI-MF-04-M05</t>
  </si>
  <si>
    <t>WI-MF-04-M06</t>
  </si>
  <si>
    <t>WI-MF-04-M07</t>
  </si>
  <si>
    <t>WI-MF-04-M08</t>
  </si>
  <si>
    <t>WI-MF-04-M09</t>
  </si>
  <si>
    <t>WI-MF-05-M01</t>
  </si>
  <si>
    <t>WI-MF-05-M02</t>
  </si>
  <si>
    <t>WI-MF-05-M03</t>
  </si>
  <si>
    <t>WI-MF-05-M04</t>
  </si>
  <si>
    <t>WI-MF-05-M05</t>
  </si>
  <si>
    <t>WI-MF-05-M06</t>
  </si>
  <si>
    <t>WI-MF-05-M07</t>
  </si>
  <si>
    <t>WI-MF-05-M08</t>
  </si>
  <si>
    <t>WI-MF-05-M09</t>
  </si>
  <si>
    <t>WI-MF-06-M01</t>
  </si>
  <si>
    <t>WI-MF-06-M02</t>
  </si>
  <si>
    <t>WI-MF-06-M03</t>
  </si>
  <si>
    <t>WI-MF-06-M04</t>
  </si>
  <si>
    <t>WI-MF-06-M05</t>
  </si>
  <si>
    <t>WI-MF-06-M06</t>
  </si>
  <si>
    <t>WI-MF-06-M07</t>
  </si>
  <si>
    <t>WI-MF-06-M08</t>
  </si>
  <si>
    <t>WI-MF-06-M09</t>
  </si>
  <si>
    <t>WI-MF-07-M01</t>
  </si>
  <si>
    <t>WI-MF-07-M02</t>
  </si>
  <si>
    <t>WI-MF-07-M03</t>
  </si>
  <si>
    <t>WI-MF-07-M04</t>
  </si>
  <si>
    <t>WI-MF-07-M05</t>
  </si>
  <si>
    <t>WI-MF-07-M06</t>
  </si>
  <si>
    <t>WI-MF-07-M07</t>
  </si>
  <si>
    <t>WI-MF-07-M08</t>
  </si>
  <si>
    <t>WI-MF-07-M09</t>
  </si>
  <si>
    <t>WI-MF-08-M01</t>
  </si>
  <si>
    <t>WI-MF-08-M02</t>
  </si>
  <si>
    <t>WI-MF-08-M03</t>
  </si>
  <si>
    <t>WI-MF-08-M04</t>
  </si>
  <si>
    <t>WI-MF-08-M05</t>
  </si>
  <si>
    <t>WI-MF-08-M06</t>
  </si>
  <si>
    <t>WI-MF-08-M07</t>
  </si>
  <si>
    <t>WI-MF-08-M08</t>
  </si>
  <si>
    <t>WI-MF-08-M09</t>
  </si>
  <si>
    <t>WI-MF-09-M01</t>
  </si>
  <si>
    <t>WI-MF-09-M02</t>
  </si>
  <si>
    <t>WI-MF-09-M03</t>
  </si>
  <si>
    <t>WI-MF-09-M04</t>
  </si>
  <si>
    <t>WI-MF-09-M05</t>
  </si>
  <si>
    <t>WI-MF-09-M06</t>
  </si>
  <si>
    <t>WI-MF-09-M07</t>
  </si>
  <si>
    <t>WI-MF-09-M08</t>
  </si>
  <si>
    <t>WI-MF-09-M09</t>
  </si>
  <si>
    <t>WI-MF-10-M01</t>
  </si>
  <si>
    <t>WI-MF-10-M02</t>
  </si>
  <si>
    <t>WI-MF-10-M03</t>
  </si>
  <si>
    <t>WI-MF-10-M04</t>
  </si>
  <si>
    <t>WI-MF-10-M05</t>
  </si>
  <si>
    <t>WI-MF-10-M06</t>
  </si>
  <si>
    <t>WI-MF-10-M07</t>
  </si>
  <si>
    <t>WI-MF-10-M08</t>
  </si>
  <si>
    <t>WI-MF-10-M09</t>
  </si>
  <si>
    <t>priority</t>
  </si>
  <si>
    <t>indicator_id</t>
  </si>
  <si>
    <t>gresb_area</t>
  </si>
  <si>
    <t>indicator_name</t>
  </si>
  <si>
    <t>evidence_required</t>
  </si>
  <si>
    <t>current_status</t>
  </si>
  <si>
    <t>evidence_available_yes_no</t>
  </si>
  <si>
    <t>data_source</t>
  </si>
  <si>
    <t>responsible_team</t>
  </si>
  <si>
    <t>incentive_usd</t>
  </si>
  <si>
    <t>expected_annual_maintenance_savings_usd</t>
  </si>
  <si>
    <t>cap_rate_assumption</t>
  </si>
  <si>
    <t>discount_rate_assumption</t>
  </si>
  <si>
    <t>annual_electricity_cost_usd</t>
  </si>
  <si>
    <t>annual_gas_cost_usd</t>
  </si>
  <si>
    <t>annual_total_energy_cost_usd</t>
  </si>
  <si>
    <t>electricity_kbtu</t>
  </si>
  <si>
    <t>natural_gas_kbtu</t>
  </si>
  <si>
    <t>site_eui_kbtu_sqft</t>
  </si>
  <si>
    <t>electricity_intensity_kwh_sqft</t>
  </si>
  <si>
    <t>gas_intensity_therms_sqft</t>
  </si>
  <si>
    <t>energy_cost_per_unit</t>
  </si>
  <si>
    <t>energy_cost_per_sqft</t>
  </si>
  <si>
    <t>months_with_energy_data</t>
  </si>
  <si>
    <t>energy_data_coverage_pct</t>
  </si>
  <si>
    <t>benchmark_site_eui</t>
  </si>
  <si>
    <t>eui_vs_benchmark</t>
  </si>
  <si>
    <t>energy_performance_flag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</si>
</sst>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8" formatCode="\$#,##0.00"/>
    <numFmt numFmtId="169" formatCode="0.0"/>
    <numFmt numFmtId="171" formatCode="#,##0.0"/>
    <numFmt numFmtId="172" formatCode="yyyy\-mm\-dd"/>
    <numFmt numFmtId="173" formatCode="\$#,##0"/>
    <numFmt numFmtId="174" formatCode="0.0%;[Red]\-0.0%"/>
    <numFmt numFmtId="175" formatCode="0.000000"/>
    <numFmt numFmtId="176" formatCode="0.000"/>
    <numFmt numFmtId="177" formatCode="0.0%"/>
  </numFmts>
  <fonts count="8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i/>
      <sz val="11"/>
      <color rgb="FF374151"/>
      <name val="Carlito"/>
    </font>
    <font>
      <b/>
      <sz val="14"/>
      <color rgb="FFFFFFFF"/>
      <name val="Carlito"/>
    </font>
    <font>
      <b/>
      <sz val="16"/>
      <color rgb="FF0F172A"/>
      <name val="Carlito"/>
    </font>
    <font>
      <i/>
      <sz val="11"/>
      <color rgb="FF334155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EAD3"/>
      </patternFill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D4ED8"/>
      </patternFill>
    </fill>
    <fill>
      <patternFill patternType="solid">
        <fgColor rgb="FF1F6F8B"/>
      </patternFill>
    </fill>
    <fill>
      <patternFill patternType="solid">
        <fgColor rgb="FF475569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34">
    <xf numFmtId="0" fontId="0" fillId="0" borderId="0" xfId="0"/>
    <xf numFmtId="0" fontId="0" fillId="0" borderId="0" xfId="0" applyAlignment="1">
      <alignment vertical="top" wrapText="1"/>
    </xf>
    <xf numFmtId="0" fontId="1" fillId="2" borderId="0" xfId="1" applyAlignment="1">
      <alignment vertical="center" wrapText="1"/>
    </xf>
    <xf numFmtId="0" fontId="0" fillId="0" borderId="0" xfId="0" applyAlignment="1">
      <alignment horizontal="left" vertical="top"/>
    </xf>
    <xf numFmtId="0" fontId="2" fillId="0" borderId="0" xfId="2"/>
    <xf numFmtId="0" fontId="2" fillId="0" borderId="0" xfId="2"/>
    <xf numFmtId="0" fontId="3" fillId="4" borderId="0" xfId="2" applyFont="1" applyFill="1" applyAlignment="1">
      <alignment horizontal="center" vertical="center" wrapText="1"/>
    </xf>
    <xf numFmtId="3" fontId="2" fillId="0" borderId="0" xfId="2" applyNumberFormat="1"/>
    <xf numFmtId="168" fontId="2" fillId="0" borderId="0" xfId="2" applyNumberFormat="1"/>
    <xf numFmtId="0" fontId="3" fillId="6" borderId="0" xfId="2" applyFont="1" applyFill="1" applyAlignment="1">
      <alignment horizontal="center" wrapText="1"/>
    </xf>
    <xf numFmtId="171" fontId="2" fillId="0" borderId="0" xfId="2" applyNumberFormat="1"/>
    <xf numFmtId="0" fontId="3" fillId="4" borderId="0" xfId="2" applyFont="1" applyFill="1"/>
    <xf numFmtId="0" fontId="3" fillId="7" borderId="0" xfId="2" applyFont="1" applyFill="1" applyAlignment="1">
      <alignment horizontal="center" vertical="center" wrapText="1"/>
    </xf>
    <xf numFmtId="172" fontId="2" fillId="0" borderId="0" xfId="2" applyNumberFormat="1"/>
    <xf numFmtId="0" fontId="3" fillId="8" borderId="0" xfId="2" applyFont="1" applyFill="1" applyAlignment="1">
      <alignment horizontal="center" vertical="center" wrapText="1"/>
    </xf>
    <xf numFmtId="2" fontId="3" fillId="8" borderId="0" xfId="2" applyNumberFormat="1" applyFont="1" applyFill="1" applyAlignment="1">
      <alignment horizontal="center" vertical="center" wrapText="1"/>
    </xf>
    <xf numFmtId="173" fontId="3" fillId="8" borderId="0" xfId="2" applyNumberFormat="1" applyFont="1" applyFill="1" applyAlignment="1">
      <alignment horizontal="center" vertical="center" wrapText="1"/>
    </xf>
    <xf numFmtId="174" fontId="3" fillId="8" borderId="0" xfId="2" applyNumberFormat="1" applyFont="1" applyFill="1" applyAlignment="1">
      <alignment horizontal="center" vertical="center" wrapText="1"/>
    </xf>
    <xf numFmtId="175" fontId="2" fillId="0" borderId="0" xfId="2" applyNumberFormat="1"/>
    <xf numFmtId="0" fontId="2" fillId="0" borderId="0" xfId="2" applyAlignment="1">
      <alignment wrapText="1"/>
    </xf>
    <xf numFmtId="176" fontId="2" fillId="0" borderId="0" xfId="2" applyNumberFormat="1" applyAlignment="1">
      <alignment wrapText="1"/>
    </xf>
    <xf numFmtId="1" fontId="2" fillId="0" borderId="0" xfId="2" applyNumberFormat="1" applyAlignment="1">
      <alignment wrapText="1"/>
    </xf>
    <xf numFmtId="173" fontId="2" fillId="0" borderId="0" xfId="2" applyNumberFormat="1"/>
    <xf numFmtId="177" fontId="2" fillId="0" borderId="0" xfId="2" applyNumberFormat="1"/>
    <xf numFmtId="0" fontId="3" fillId="9" borderId="0" xfId="2" applyFont="1" applyFill="1" applyAlignment="1">
      <alignment wrapText="1"/>
    </xf>
    <xf numFmtId="0" fontId="4" fillId="10" borderId="0" xfId="2" applyFont="1" applyFill="1" applyAlignment="1">
      <alignment wrapText="1"/>
    </xf>
    <xf numFmtId="0" fontId="5" fillId="11" borderId="0" xfId="2" applyFont="1" applyFill="1"/>
    <xf numFmtId="0" fontId="3" fillId="12" borderId="0" xfId="2" applyFont="1" applyFill="1" applyAlignment="1">
      <alignment horizontal="center" vertical="center" wrapText="1"/>
    </xf>
    <xf numFmtId="169" fontId="2" fillId="0" borderId="0" xfId="2" applyNumberFormat="1" applyAlignment="1">
      <alignment wrapText="1"/>
    </xf>
    <xf numFmtId="0" fontId="6" fillId="3" borderId="0" xfId="2" applyFont="1" applyFill="1" applyAlignment="1">
      <alignment horizontal="left"/>
    </xf>
    <xf numFmtId="0" fontId="7" fillId="0" borderId="0" xfId="2" applyFont="1" applyAlignment="1">
      <alignment wrapText="1"/>
    </xf>
    <xf numFmtId="173" fontId="2" fillId="0" borderId="0" xfId="2" applyNumberFormat="1" applyAlignment="1">
      <alignment wrapText="1"/>
    </xf>
    <xf numFmtId="0" fontId="0" fillId="5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</cellXfs>
  <cellStyles count="3">
    <cellStyle name="Good" xfId="1" builtinId="26"/>
    <cellStyle name="Normal" xfId="0" builtinId="0"/>
    <cellStyle name="Normal 2" xfId="2" xr:uid="{870A7C1D-A557-42C4-B0FB-73E9ED2F91CB}"/>
  </cellStyles>
  <dxfs count="14">
    <dxf>
      <fill>
        <patternFill patternType="solid">
          <bgColor rgb="FFFEF3C7"/>
        </patternFill>
      </fill>
    </dxf>
    <dxf>
      <alignment horizontal="general" vertical="center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veis\Downloads\GRESB_Tab11_gresb_readiness.xlsx" TargetMode="External"/><Relationship Id="rId1" Type="http://schemas.openxmlformats.org/officeDocument/2006/relationships/externalLinkPath" Target="file:///C:\Users\hveis\Downloads\GRESB_Tab11_gresb_read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_gresb_readiness"/>
      <sheetName val="asset_readiness"/>
      <sheetName val="evidence_gap_register"/>
      <sheetName val="methodology"/>
    </sheetNames>
    <sheetDataSet>
      <sheetData sheetId="0">
        <row r="5">
          <cell r="A5" t="str">
            <v>ESG Governance &amp; Policies</v>
          </cell>
          <cell r="C5" t="str">
            <v>45</v>
          </cell>
          <cell r="D5" t="str">
            <v>80</v>
          </cell>
        </row>
        <row r="6">
          <cell r="A6" t="str">
            <v>Risk Assessment &amp; Resilience</v>
          </cell>
          <cell r="C6" t="str">
            <v>41.0</v>
          </cell>
          <cell r="D6" t="str">
            <v>75</v>
          </cell>
        </row>
        <row r="7">
          <cell r="A7" t="str">
            <v>Targets</v>
          </cell>
          <cell r="C7" t="str">
            <v>35</v>
          </cell>
          <cell r="D7" t="str">
            <v>75</v>
          </cell>
        </row>
        <row r="8">
          <cell r="A8" t="str">
            <v>Data Monitoring &amp; Coverage</v>
          </cell>
          <cell r="C8" t="str">
            <v>88.3</v>
          </cell>
          <cell r="D8" t="str">
            <v>90</v>
          </cell>
        </row>
        <row r="9">
          <cell r="A9" t="str">
            <v>Energy Performance</v>
          </cell>
          <cell r="C9" t="str">
            <v>92.2</v>
          </cell>
          <cell r="D9" t="str">
            <v>80</v>
          </cell>
        </row>
        <row r="10">
          <cell r="A10" t="str">
            <v>GHG Accounting &amp; Reduction</v>
          </cell>
          <cell r="C10" t="str">
            <v>50</v>
          </cell>
          <cell r="D10" t="str">
            <v>80</v>
          </cell>
        </row>
        <row r="11">
          <cell r="A11" t="str">
            <v>Water Management</v>
          </cell>
          <cell r="C11" t="str">
            <v>86.2</v>
          </cell>
          <cell r="D11" t="str">
            <v>75</v>
          </cell>
        </row>
        <row r="12">
          <cell r="A12" t="str">
            <v>Waste Management</v>
          </cell>
          <cell r="C12" t="str">
            <v>86.5</v>
          </cell>
          <cell r="D12" t="str">
            <v>70</v>
          </cell>
        </row>
        <row r="13">
          <cell r="A13" t="str">
            <v>Tenants &amp; Community</v>
          </cell>
          <cell r="C13" t="str">
            <v>44.0</v>
          </cell>
          <cell r="D13" t="str">
            <v>75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618925-3381-46C2-9681-65CE67E162A2}" name="Asset_Master" displayName="Asset_Master" ref="A1:K11" totalsRowShown="0" headerRowDxfId="1" dataDxfId="2" headerRowCellStyle="Good">
  <autoFilter ref="A1:K11" xr:uid="{0B618925-3381-46C2-9681-65CE67E162A2}"/>
  <tableColumns count="11">
    <tableColumn id="1" xr3:uid="{49360D46-5FBD-4B94-AE10-865E8F8119FC}" name="property_id" dataDxfId="13"/>
    <tableColumn id="2" xr3:uid="{F09513CD-94F5-45A3-AEF2-F0B430324ABE}" name="property_name" dataDxfId="12"/>
    <tableColumn id="3" xr3:uid="{1F534C40-8D69-4C72-8E8F-9D4906CC529A}" name="city" dataDxfId="11"/>
    <tableColumn id="4" xr3:uid="{7160D0ED-2E3E-4CD2-A8F6-52D99FF471F8}" name="county" dataDxfId="10"/>
    <tableColumn id="5" xr3:uid="{FD3EAE32-8710-4052-99CA-0D15D5926522}" name="state" dataDxfId="9"/>
    <tableColumn id="6" xr3:uid="{F0F615B0-A48F-4117-8343-FB061F983225}" name="property_type" dataDxfId="8"/>
    <tableColumn id="7" xr3:uid="{C75111B3-B7B0-407A-9A35-3AC0E5FA5596}" name="year_built" dataDxfId="7"/>
    <tableColumn id="8" xr3:uid="{B75A173C-9DC7-4622-A428-79A406AE7CFD}" name="gross_floor_area_sqft" dataDxfId="6"/>
    <tableColumn id="9" xr3:uid="{0A14FC14-4473-49BD-96FB-C29F403EBE70}" name="units" dataDxfId="5"/>
    <tableColumn id="10" xr3:uid="{9E5B5EBE-2E49-4ECC-B73A-DB127A6D1B05}" name="occupancy_rate" dataDxfId="4"/>
    <tableColumn id="11" xr3:uid="{24235CB9-3E18-4448-A80B-BA6DBE447460}" name="affordable_units_pc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CE1365-DFEF-4312-A2D9-F1FEF05CE617}" name="WaterMonthlyTable" displayName="WaterMonthlyTable" ref="A1:N121">
  <tableColumns count="14">
    <tableColumn id="1" xr3:uid="{0EE05380-6E4C-4826-A994-3AD63674537D}" name="property_id"/>
    <tableColumn id="2" xr3:uid="{0C4C9CB9-7FD1-45BD-956B-78987DAD4441}" name="property_name"/>
    <tableColumn id="3" xr3:uid="{F6E78155-3014-48BF-885A-EE888CA2C2A8}" name="city"/>
    <tableColumn id="4" xr3:uid="{A78E65FE-34F7-4F67-9287-A6D2F9D8970C}" name="county"/>
    <tableColumn id="5" xr3:uid="{E84F9306-DD64-451A-9C1A-9CD64391C8DD}" name="month"/>
    <tableColumn id="6" xr3:uid="{C0FC9C94-A48D-4511-B14F-3B3976D62D3D}" name="water_gallons"/>
    <tableColumn id="7" xr3:uid="{E3C88E6F-60AC-4D6A-A70E-5EC32E10B2F3}" name="water_cost_usd"/>
    <tableColumn id="8" xr3:uid="{6F360C3A-720E-4330-A8B8-55EC119CFE17}" name="sewer_cost_usd"/>
    <tableColumn id="9" xr3:uid="{08F5AB1D-B3CC-4AEC-8489-10C89B326A2C}" name="total_water_sewer_cost_usd"/>
    <tableColumn id="10" xr3:uid="{50837BB7-9785-4259-9A7B-571C8B9A6F9D}" name="irrigation_included"/>
    <tableColumn id="11" xr3:uid="{859130C1-F4DF-46D9-9F32-82F12C5C0C8C}" name="owner_or_tenant_paid"/>
    <tableColumn id="12" xr3:uid="{F7AA6C1B-B8DF-43B2-8220-B5B44CAA7432}" name="data_quality"/>
    <tableColumn id="13" xr3:uid="{C0F8C2C5-DD6D-4D50-BFC0-DE3B2A17CCD8}" name="gallons_per_unit_month"/>
    <tableColumn id="14" xr3:uid="{B6D7FAB1-B075-41E0-9984-7740AEC2E53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5E1AE-D46B-4E5D-904E-FA30E6E0AB61}" name="WasteMonthlyTable" displayName="WasteMonthlyTable" ref="A1:Q121">
  <tableColumns count="17">
    <tableColumn id="1" xr3:uid="{0E931CFA-305A-470E-BF32-0DF94EABE5EA}" name="property_id"/>
    <tableColumn id="2" xr3:uid="{A8E5A683-8A58-4AEF-AA31-4E40866AFD8F}" name="property_name"/>
    <tableColumn id="3" xr3:uid="{C9489AAD-F29C-4F7A-994A-79757127F50E}" name="city"/>
    <tableColumn id="4" xr3:uid="{21AAD9B7-3ADA-4349-855A-90DA2A1E6BCC}" name="county"/>
    <tableColumn id="5" xr3:uid="{A40A1672-3FC3-4B54-A5C6-4BCB5E373567}" name="state"/>
    <tableColumn id="6" xr3:uid="{5DDD0F76-BC9F-405C-BBCC-1DE655D0E37A}" name="month"/>
    <tableColumn id="7" xr3:uid="{544DA9F4-4C49-4DFF-B5FE-5D0C002FE3D0}" name="landfill_tons"/>
    <tableColumn id="8" xr3:uid="{07D3CA20-558B-4630-B577-53ABAE4CB81F}" name="recycling_tons"/>
    <tableColumn id="9" xr3:uid="{69C0E94A-F3E7-48C4-8AD9-D6BBB2EF1692}" name="compost_tons"/>
    <tableColumn id="10" xr3:uid="{905C3B75-0F22-4096-9717-5B0C88379F64}" name="total_waste_tons"/>
    <tableColumn id="11" xr3:uid="{192B3AD6-E399-4017-932D-F7DC3AAC81FB}" name="waste_cost_usd"/>
    <tableColumn id="12" xr3:uid="{50FE741C-74D3-49F0-B7A7-35AF30B1FAE2}" name="vendor"/>
    <tableColumn id="13" xr3:uid="{A9DDECA5-01CD-4B57-B434-E26A9F528835}" name="data_quality"/>
    <tableColumn id="14" xr3:uid="{E92496B7-24DE-4548-A35B-CFE870EF9649}" name="months_available"/>
    <tableColumn id="15" xr3:uid="{0F6AADA2-98C2-4D9C-BE04-DD1484AF6CBD}" name="waste_lbs_per_unit_month"/>
    <tableColumn id="16" xr3:uid="{0CFF2EB6-C516-4536-A3CF-9288740FCB24}" name="diversion_rate"/>
    <tableColumn id="17" xr3:uid="{B73553D1-B433-4335-AE46-9A5A85279822}" name="sour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978879-6148-408D-A669-53194C374353}" name="EmissionFactors" displayName="EmissionFactors" ref="A1:P7">
  <tableColumns count="16">
    <tableColumn id="1" xr3:uid="{00000000-0010-0000-0000-000001000000}" name="factor_id"/>
    <tableColumn id="2" xr3:uid="{00000000-0010-0000-0000-000002000000}" name="source_name"/>
    <tableColumn id="3" xr3:uid="{00000000-0010-0000-0000-000003000000}" name="source_year"/>
    <tableColumn id="4" xr3:uid="{00000000-0010-0000-0000-000004000000}" name="geography"/>
    <tableColumn id="5" xr3:uid="{00000000-0010-0000-0000-000005000000}" name="fuel_or_energy_type"/>
    <tableColumn id="6" xr3:uid="{00000000-0010-0000-0000-000006000000}" name="scope"/>
    <tableColumn id="7" xr3:uid="{00000000-0010-0000-0000-000007000000}" name="input_unit"/>
    <tableColumn id="8" xr3:uid="{00000000-0010-0000-0000-000008000000}" name="co2_factor"/>
    <tableColumn id="9" xr3:uid="{00000000-0010-0000-0000-000009000000}" name="ch4_factor"/>
    <tableColumn id="10" xr3:uid="{00000000-0010-0000-0000-00000A000000}" name="n2o_factor"/>
    <tableColumn id="11" xr3:uid="{00000000-0010-0000-0000-00000B000000}" name="co2e_factor"/>
    <tableColumn id="12" xr3:uid="{00000000-0010-0000-0000-00000C000000}" name="co2e_unit"/>
    <tableColumn id="13" xr3:uid="{00000000-0010-0000-0000-00000D000000}" name="conversion_notes"/>
    <tableColumn id="14" xr3:uid="{00000000-0010-0000-0000-00000E000000}" name="source_url"/>
    <tableColumn id="15" xr3:uid="{00000000-0010-0000-0000-00000F000000}" name="use_in_project"/>
    <tableColumn id="16" xr3:uid="{00000000-0010-0000-0000-000010000000}" name="quality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D22BCE-A3B2-4647-ABC5-460F042CCC15}" name="BenchmarkDataTable" displayName="BenchmarkDataTable" ref="A1:K11">
  <tableColumns count="11">
    <tableColumn id="1" xr3:uid="{8D0CD573-205B-46BD-8559-E32E16CF3CB0}" name="benchmark_id"/>
    <tableColumn id="2" xr3:uid="{9C0506AA-9517-4CE5-B6B8-08CD20636170}" name="category"/>
    <tableColumn id="3" xr3:uid="{E0ECFA24-1324-4728-9813-81BE1F9955FF}" name="property_type"/>
    <tableColumn id="4" xr3:uid="{0F4C8F17-C6CC-43A2-9803-B25708ECBEEE}" name="benchmark_metric"/>
    <tableColumn id="5" xr3:uid="{731A266E-9159-4F4B-9B29-38B45C7E60CD}" name="benchmark_value"/>
    <tableColumn id="6" xr3:uid="{237FF175-4371-4865-A8F5-E70CC885B84F}" name="unit"/>
    <tableColumn id="7" xr3:uid="{3970A541-3997-47C2-AC1D-E40D263BFCC5}" name="source_name"/>
    <tableColumn id="8" xr3:uid="{F0332122-DA9C-43B2-BE1A-4703941C6936}" name="source_year"/>
    <tableColumn id="9" xr3:uid="{698506A2-9F17-4CFF-8859-3108241F4BF7}" name="source_url"/>
    <tableColumn id="10" xr3:uid="{BE2DF803-D899-4610-8439-8088681D5B52}" name="how_to_use"/>
    <tableColumn id="11" xr3:uid="{3E3113EF-2AD1-4877-83D7-7CCC360E6C06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BE49BA-6823-4E05-86E3-4996CD0A3879}" name="CommunityACSTable" displayName="CommunityACSTable" ref="A4:V14">
  <tableColumns count="22">
    <tableColumn id="1" xr3:uid="{00000000-0010-0000-0000-000001000000}" name="property_id"/>
    <tableColumn id="2" xr3:uid="{00000000-0010-0000-0000-000002000000}" name="property_name"/>
    <tableColumn id="3" xr3:uid="{00000000-0010-0000-0000-000003000000}" name="city"/>
    <tableColumn id="4" xr3:uid="{00000000-0010-0000-0000-000004000000}" name="county"/>
    <tableColumn id="5" xr3:uid="{00000000-0010-0000-0000-000005000000}" name="state"/>
    <tableColumn id="6" xr3:uid="{00000000-0010-0000-0000-000006000000}" name="geoid_county"/>
    <tableColumn id="7" xr3:uid="{00000000-0010-0000-0000-000007000000}" name="geography_level"/>
    <tableColumn id="8" xr3:uid="{00000000-0010-0000-0000-000008000000}" name="median_household_income_usd_2020_2024"/>
    <tableColumn id="9" xr3:uid="{00000000-0010-0000-0000-000009000000}" name="poverty_rate"/>
    <tableColumn id="10" xr3:uid="{00000000-0010-0000-0000-00000A000000}" name="owner_occupied_rate"/>
    <tableColumn id="11" xr3:uid="{00000000-0010-0000-0000-00000B000000}" name="renter_occupied_rate"/>
    <tableColumn id="12" xr3:uid="{00000000-0010-0000-0000-00000C000000}" name="population_under_5_pct"/>
    <tableColumn id="13" xr3:uid="{00000000-0010-0000-0000-00000D000000}" name="population_over_65_pct"/>
    <tableColumn id="14" xr3:uid="{00000000-0010-0000-0000-00000E000000}" name="language_other_than_english_pct"/>
    <tableColumn id="15" xr3:uid="{00000000-0010-0000-0000-00000F000000}" name="median_gross_rent_usd"/>
    <tableColumn id="16" xr3:uid="{00000000-0010-0000-0000-000010000000}" name="rent_burden_rate"/>
    <tableColumn id="17" xr3:uid="{00000000-0010-0000-0000-000011000000}" name="rent_burden_note"/>
    <tableColumn id="18" xr3:uid="{00000000-0010-0000-0000-000012000000}" name="social_vulnerability_flag"/>
    <tableColumn id="19" xr3:uid="{00000000-0010-0000-0000-000013000000}" name="income_vs_wi_median_flag"/>
    <tableColumn id="20" xr3:uid="{00000000-0010-0000-0000-000014000000}" name="source_year"/>
    <tableColumn id="21" xr3:uid="{00000000-0010-0000-0000-000015000000}" name="source_name"/>
    <tableColumn id="22" xr3:uid="{00000000-0010-0000-0000-000016000000}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5B4656-5204-486D-B046-EFA45074ACA2}" name="ClimateRiskFEMATable" displayName="ClimateRiskFEMATable" ref="A1:W11">
  <tableColumns count="23">
    <tableColumn id="1" xr3:uid="{655F8FF7-1372-4FD1-9DF9-7B6162A3D0CF}" name="property_id"/>
    <tableColumn id="2" xr3:uid="{B1C176A5-73A2-4368-A116-851CAE9C9723}" name="property_name"/>
    <tableColumn id="3" xr3:uid="{D51D9437-92EA-41B1-80D9-0C8A053B8559}" name="city"/>
    <tableColumn id="4" xr3:uid="{CD2208CB-6A1A-495D-AD6F-559B84D7C287}" name="county"/>
    <tableColumn id="5" xr3:uid="{9F079658-902A-477D-A7FB-FDE3AA7EEE4D}" name="state"/>
    <tableColumn id="6" xr3:uid="{1DA7C43D-AED7-4E3F-87BD-F4B1C0127DE5}" name="overall_risk_score_0_100"/>
    <tableColumn id="7" xr3:uid="{A66EA688-662B-41ED-B546-4FBAAD655196}" name="overall_risk_rating"/>
    <tableColumn id="8" xr3:uid="{2EEAB6DF-481A-4C3E-A192-E499AC85D37D}" name="national_percentile"/>
    <tableColumn id="9" xr3:uid="{54AD3EF0-36D2-4FDC-A2C8-C2F1D4959699}" name="expected_annual_loss_musd"/>
    <tableColumn id="10" xr3:uid="{C79A01CB-B3E6-495C-9B92-620B238F5470}" name="social_vulnerability_rating"/>
    <tableColumn id="11" xr3:uid="{358ECD2E-8D4F-4744-898D-857C7D093ADF}" name="community_resilience_rating"/>
    <tableColumn id="12" xr3:uid="{482CFBC6-01D6-462B-A1B4-5F9B142F398A}" name="top_hazard_1"/>
    <tableColumn id="13" xr3:uid="{BF7AB96C-6E17-48DD-9905-C276371366F8}" name="top_hazard_1_rating"/>
    <tableColumn id="14" xr3:uid="{1DF3DCDF-9B7F-440F-BC81-13D4E56D0B48}" name="top_hazard_2"/>
    <tableColumn id="15" xr3:uid="{345B849A-2F10-4C60-8A35-6F08D0A6C8F9}" name="top_hazard_2_rating"/>
    <tableColumn id="16" xr3:uid="{8A52F536-35B7-4D81-9AAA-65226BE61541}" name="top_hazard_3"/>
    <tableColumn id="17" xr3:uid="{E5B04E3F-10B3-45CE-AE1C-E75AA0EC8278}" name="top_hazard_3_rating"/>
    <tableColumn id="18" xr3:uid="{988E94B5-149D-44D2-98B8-857698980A7E}" name="wi_county_rank_if_available"/>
    <tableColumn id="19" xr3:uid="{FC227C61-31B6-415A-8746-1644EDF76E97}" name="data_granularity"/>
    <tableColumn id="20" xr3:uid="{6DBB2B17-C0BB-46EC-9261-9C0ECB4828F7}" name="source_year_version"/>
    <tableColumn id="21" xr3:uid="{5A15D0D6-E837-4261-AACA-CFF0A7C0857F}" name="source_name"/>
    <tableColumn id="22" xr3:uid="{A2B3A872-2A3F-430E-A6C4-E16C72002475}" name="source_url"/>
    <tableColumn id="23" xr3:uid="{9D1EA662-BC39-4B67-AE7D-4D30E277DA57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2551B2-0779-4D25-82BB-34CD6F5E0B74}" name="RetrofitOptions" displayName="RetrofitOptions" ref="A4:V94">
  <tableColumns count="22">
    <tableColumn id="1" xr3:uid="{ED1DD0BE-1E16-498C-AA40-EA16A4CFC375}" name="property_id"/>
    <tableColumn id="2" xr3:uid="{3E80EB76-81E9-4465-A625-54CF5F8DC1C5}" name="property_name"/>
    <tableColumn id="3" xr3:uid="{C51CD040-A3B9-48BB-984C-2E6187356E59}" name="city"/>
    <tableColumn id="4" xr3:uid="{DD26F1EE-5807-4D04-8094-F160A1EDBC40}" name="county"/>
    <tableColumn id="5" xr3:uid="{9D76909E-F72C-4D28-B3B9-C8BD69D51351}" name="measure_id"/>
    <tableColumn id="6" xr3:uid="{6DF5B86F-BFE0-4263-BE05-20E8A5809834}" name="measure_name"/>
    <tableColumn id="7" xr3:uid="{BB5FDA45-9D28-4F7A-9FCE-F076823606E0}" name="category"/>
    <tableColumn id="8" xr3:uid="{DD6AF951-7A0A-4A04-B6EF-43D06177C067}" name="capital_cost_usd"/>
    <tableColumn id="9" xr3:uid="{115A735E-0C59-40C0-AE6A-1C42ECFF2996}" name="eligible_incentive_usd"/>
    <tableColumn id="10" xr3:uid="{CE885020-3A3B-44E5-ACEB-59B79501566A}" name="net_cost_usd"/>
    <tableColumn id="11" xr3:uid="{DEABDCE3-FAF8-457A-AFA6-A43E68E1EDE9}" name="annual_electricity_savings_kwh"/>
    <tableColumn id="12" xr3:uid="{188F7A3A-0519-4256-9D39-ECAA9FE29647}" name="annual_gas_savings_therms"/>
    <tableColumn id="13" xr3:uid="{FDD0DE08-B561-4674-937E-99C8500FAA06}" name="annual_water_savings_gal"/>
    <tableColumn id="14" xr3:uid="{BFAF408C-2FF4-4176-A495-02FE73DC6E4E}" name="annual_cost_savings_usd"/>
    <tableColumn id="15" xr3:uid="{3721E708-0C17-4902-91C3-E69B069FF0C6}" name="useful_life_years"/>
    <tableColumn id="16" xr3:uid="{DD1C2FD8-64A9-4863-86A9-8E4AA3CCA883}" name="tenant_benefit_score_1_5"/>
    <tableColumn id="17" xr3:uid="{17AE1E67-D3D8-4082-9B54-519818576141}" name="owner_benefit_score_1_5"/>
    <tableColumn id="18" xr3:uid="{7274C528-6EA4-4B2D-9322-7B554765897B}" name="implementation_difficulty"/>
    <tableColumn id="19" xr3:uid="{BCAC3E74-2763-4DCF-AA24-231B9C08DC30}" name="ghg_reduction_tco2e_per_year"/>
    <tableColumn id="20" xr3:uid="{212F6AD4-EAA3-4F4E-BCC5-1917EE3A2FEB}" name="source_basis"/>
    <tableColumn id="21" xr3:uid="{9F991833-7511-4F92-8A51-08EDA017F47C}" name="data_confidence"/>
    <tableColumn id="22" xr3:uid="{689C60D0-CB3C-468D-AA65-4E046190FA08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5996AC-63AB-4D1F-B896-59046820D636}" name="RetrofitFinancialFormulas" displayName="RetrofitFinancialFormulas" ref="W4:AB94">
  <tableColumns count="6">
    <tableColumn id="1" xr3:uid="{E732F82A-6FF1-46B9-9A87-8F5C6913626D}" name="simple_payback_years">
      <calculatedColumnFormula>IFERROR(J5/N5,"")</calculatedColumnFormula>
    </tableColumn>
    <tableColumn id="2" xr3:uid="{E3B542FA-2CF2-4253-8F85-A111DB756E45}" name="lifetime_savings_usd">
      <calculatedColumnFormula>N5*O5</calculatedColumnFormula>
    </tableColumn>
    <tableColumn id="3" xr3:uid="{EFD3CD90-EE30-44C6-80BF-D96B327F3248}" name="net_lifetime_benefit_usd">
      <calculatedColumnFormula>(N5*O5)-J5</calculatedColumnFormula>
    </tableColumn>
    <tableColumn id="4" xr3:uid="{D5E84738-7001-43AA-BB39-2203A2D22B73}" name="lifetime_ghg_reduction_tco2e">
      <calculatedColumnFormula>S5*O5</calculatedColumnFormula>
    </tableColumn>
    <tableColumn id="5" xr3:uid="{65362314-E160-4632-B2CD-728B91B2F815}" name="cost_per_tco2e_usd">
      <calculatedColumnFormula>IFERROR(J5/(S5*O5),"")</calculatedColumnFormula>
    </tableColumn>
    <tableColumn id="6" xr3:uid="{8C5F9932-BCA0-45EB-BF66-288A60EA4C19}" name="investment_decision">
      <calculatedColumnFormula>IF(AND(IFERROR(J5/N5,99)&lt;=4, S5&gt;20),"Fund now",IF(IFERROR(J5/N5,99)&lt;=7,"Fund if budget allows","Study/defer"))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7224A-2D6D-44FB-96AA-07DCB5E9982B}" name="AnnualCheckTable" displayName="AnnualCheckTable" ref="A1:F11">
  <tableColumns count="6">
    <tableColumn id="1" xr3:uid="{7637CE78-6187-4436-9F2A-1F91BB2D0BFB}" name="property_id"/>
    <tableColumn id="2" xr3:uid="{93964251-C1C8-4064-8AC8-0C7B7FCC6D59}" name="property_name"/>
    <tableColumn id="3" xr3:uid="{452741A5-1006-4560-B1B6-D7734BB9D82A}" name="assumed_annual_site_eui_kbtu_sqft"/>
    <tableColumn id="4" xr3:uid="{69D38DB2-37A5-460D-B912-9F3FF3FCC901}" name="annual_electricity_kwh"/>
    <tableColumn id="5" xr3:uid="{F40685B4-AB96-4B02-A2A6-1E54F0C667C9}" name="annual_natural_gas_therms"/>
    <tableColumn id="6" xr3:uid="{3127B6E5-2642-48EA-A7CF-B7F06CFFF5EE}" name="annual_total_energy_kbtu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682FA0-30D6-4763-8891-C849161521CE}" name="SourcesTable" displayName="SourcesTable" ref="A1:C4">
  <tableColumns count="3">
    <tableColumn id="1" xr3:uid="{00000000-0010-0000-0200-000001000000}" name="Source"/>
    <tableColumn id="2" xr3:uid="{00000000-0010-0000-0200-000002000000}" name="URL"/>
    <tableColumn id="3" xr3:uid="{00000000-0010-0000-0200-000003000000}" name="Use in Tab 0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F376-1D81-421B-9741-1E0D08243D04}">
  <dimension ref="A1:K11"/>
  <sheetViews>
    <sheetView workbookViewId="0">
      <selection activeCell="A11" sqref="A2:A11"/>
    </sheetView>
  </sheetViews>
  <sheetFormatPr defaultRowHeight="15"/>
  <cols>
    <col min="1" max="1" width="15.28515625" customWidth="1"/>
    <col min="2" max="2" width="16.7109375" customWidth="1"/>
    <col min="3" max="5" width="15.28515625" customWidth="1"/>
    <col min="6" max="6" width="15.7109375" customWidth="1"/>
    <col min="7" max="7" width="15.28515625" customWidth="1"/>
    <col min="8" max="8" width="22.28515625" customWidth="1"/>
    <col min="9" max="9" width="15.28515625" customWidth="1"/>
    <col min="10" max="10" width="17.140625" customWidth="1"/>
    <col min="11" max="11" width="21.57031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10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>
        <v>1988</v>
      </c>
      <c r="H2" s="3">
        <v>165000</v>
      </c>
      <c r="I2" s="3">
        <v>180</v>
      </c>
      <c r="J2" s="3">
        <v>0.94</v>
      </c>
      <c r="K2" s="3">
        <v>0.25</v>
      </c>
    </row>
    <row r="3" spans="1:11">
      <c r="A3" s="3" t="s">
        <v>28</v>
      </c>
      <c r="B3" s="3" t="s">
        <v>29</v>
      </c>
      <c r="C3" s="3" t="s">
        <v>30</v>
      </c>
      <c r="D3" s="3" t="s">
        <v>30</v>
      </c>
      <c r="E3" s="3" t="s">
        <v>26</v>
      </c>
      <c r="F3" s="3" t="s">
        <v>27</v>
      </c>
      <c r="G3" s="3">
        <v>1975</v>
      </c>
      <c r="H3" s="3">
        <v>220000</v>
      </c>
      <c r="I3" s="3">
        <v>240</v>
      </c>
      <c r="J3" s="3">
        <v>0.91</v>
      </c>
      <c r="K3" s="3">
        <v>0.6</v>
      </c>
    </row>
    <row r="4" spans="1:11">
      <c r="A4" s="3" t="s">
        <v>31</v>
      </c>
      <c r="B4" s="3" t="s">
        <v>32</v>
      </c>
      <c r="C4" s="3" t="s">
        <v>33</v>
      </c>
      <c r="D4" s="3" t="s">
        <v>34</v>
      </c>
      <c r="E4" s="3" t="s">
        <v>26</v>
      </c>
      <c r="F4" s="3" t="s">
        <v>27</v>
      </c>
      <c r="G4" s="3">
        <v>1995</v>
      </c>
      <c r="H4" s="3">
        <v>145000</v>
      </c>
      <c r="I4" s="3">
        <v>160</v>
      </c>
      <c r="J4" s="3">
        <v>0.96</v>
      </c>
      <c r="K4" s="3">
        <v>0.15</v>
      </c>
    </row>
    <row r="5" spans="1:11">
      <c r="A5" s="3" t="s">
        <v>35</v>
      </c>
      <c r="B5" s="3" t="s">
        <v>36</v>
      </c>
      <c r="C5" s="3" t="s">
        <v>37</v>
      </c>
      <c r="D5" s="3" t="s">
        <v>38</v>
      </c>
      <c r="E5" s="3" t="s">
        <v>26</v>
      </c>
      <c r="F5" s="3" t="s">
        <v>27</v>
      </c>
      <c r="G5" s="3">
        <v>1982</v>
      </c>
      <c r="H5" s="3">
        <v>120000</v>
      </c>
      <c r="I5" s="3">
        <v>130</v>
      </c>
      <c r="J5" s="3">
        <v>0.93</v>
      </c>
      <c r="K5" s="3">
        <v>0.4</v>
      </c>
    </row>
    <row r="6" spans="1:11">
      <c r="A6" s="3" t="s">
        <v>39</v>
      </c>
      <c r="B6" s="3" t="s">
        <v>40</v>
      </c>
      <c r="C6" s="3" t="s">
        <v>41</v>
      </c>
      <c r="D6" s="3" t="s">
        <v>41</v>
      </c>
      <c r="E6" s="3" t="s">
        <v>26</v>
      </c>
      <c r="F6" s="3" t="s">
        <v>27</v>
      </c>
      <c r="G6" s="3">
        <v>2008</v>
      </c>
      <c r="H6" s="3">
        <v>98000</v>
      </c>
      <c r="I6" s="3">
        <v>105</v>
      </c>
      <c r="J6" s="3">
        <v>0.97</v>
      </c>
      <c r="K6" s="3">
        <v>0.1</v>
      </c>
    </row>
    <row r="7" spans="1:11">
      <c r="A7" s="3" t="s">
        <v>42</v>
      </c>
      <c r="B7" s="3" t="s">
        <v>43</v>
      </c>
      <c r="C7" s="3" t="s">
        <v>44</v>
      </c>
      <c r="D7" s="3" t="s">
        <v>44</v>
      </c>
      <c r="E7" s="3" t="s">
        <v>26</v>
      </c>
      <c r="F7" s="3" t="s">
        <v>27</v>
      </c>
      <c r="G7" s="3">
        <v>1970</v>
      </c>
      <c r="H7" s="3">
        <v>185000</v>
      </c>
      <c r="I7" s="3">
        <v>210</v>
      </c>
      <c r="J7" s="3">
        <v>0.89</v>
      </c>
      <c r="K7" s="3">
        <v>0.55000000000000004</v>
      </c>
    </row>
    <row r="8" spans="1:11">
      <c r="A8" s="3" t="s">
        <v>45</v>
      </c>
      <c r="B8" s="3" t="s">
        <v>46</v>
      </c>
      <c r="C8" s="3" t="s">
        <v>47</v>
      </c>
      <c r="D8" s="3" t="s">
        <v>48</v>
      </c>
      <c r="E8" s="3" t="s">
        <v>26</v>
      </c>
      <c r="F8" s="3" t="s">
        <v>27</v>
      </c>
      <c r="G8" s="3">
        <v>2001</v>
      </c>
      <c r="H8" s="3">
        <v>135000</v>
      </c>
      <c r="I8" s="3">
        <v>150</v>
      </c>
      <c r="J8" s="3">
        <v>0.95</v>
      </c>
      <c r="K8" s="3">
        <v>0.2</v>
      </c>
    </row>
    <row r="9" spans="1:11">
      <c r="A9" s="3" t="s">
        <v>49</v>
      </c>
      <c r="B9" s="3" t="s">
        <v>50</v>
      </c>
      <c r="C9" s="3" t="s">
        <v>51</v>
      </c>
      <c r="D9" s="3" t="s">
        <v>51</v>
      </c>
      <c r="E9" s="3" t="s">
        <v>26</v>
      </c>
      <c r="F9" s="3" t="s">
        <v>27</v>
      </c>
      <c r="G9" s="3">
        <v>1990</v>
      </c>
      <c r="H9" s="3">
        <v>110000</v>
      </c>
      <c r="I9" s="3">
        <v>120</v>
      </c>
      <c r="J9" s="3">
        <v>0.92</v>
      </c>
      <c r="K9" s="3">
        <v>0.35</v>
      </c>
    </row>
    <row r="10" spans="1:11">
      <c r="A10" s="3" t="s">
        <v>52</v>
      </c>
      <c r="B10" s="3" t="s">
        <v>53</v>
      </c>
      <c r="C10" s="3" t="s">
        <v>24</v>
      </c>
      <c r="D10" s="3" t="s">
        <v>25</v>
      </c>
      <c r="E10" s="3" t="s">
        <v>26</v>
      </c>
      <c r="F10" s="3" t="s">
        <v>27</v>
      </c>
      <c r="G10" s="3">
        <v>2015</v>
      </c>
      <c r="H10" s="3">
        <v>175000</v>
      </c>
      <c r="I10" s="3">
        <v>190</v>
      </c>
      <c r="J10" s="3">
        <v>0.98</v>
      </c>
      <c r="K10" s="3">
        <v>0.05</v>
      </c>
    </row>
    <row r="11" spans="1:11">
      <c r="A11" s="3" t="s">
        <v>54</v>
      </c>
      <c r="B11" s="3" t="s">
        <v>55</v>
      </c>
      <c r="C11" s="3" t="s">
        <v>56</v>
      </c>
      <c r="D11" s="3" t="s">
        <v>56</v>
      </c>
      <c r="E11" s="3" t="s">
        <v>26</v>
      </c>
      <c r="F11" s="3" t="s">
        <v>27</v>
      </c>
      <c r="G11" s="3">
        <v>1980</v>
      </c>
      <c r="H11" s="3">
        <v>160000</v>
      </c>
      <c r="I11" s="3">
        <v>175</v>
      </c>
      <c r="J11" s="3">
        <v>0.9</v>
      </c>
      <c r="K11" s="3">
        <v>0.5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B628-E70A-4BFF-8747-052908EF461C}">
  <dimension ref="A1:I2"/>
  <sheetViews>
    <sheetView workbookViewId="0">
      <selection activeCell="A2" sqref="A2"/>
    </sheetView>
  </sheetViews>
  <sheetFormatPr defaultRowHeight="14.25"/>
  <cols>
    <col min="1" max="1" width="16" style="5" customWidth="1"/>
    <col min="2" max="2" width="27.42578125" style="5" customWidth="1"/>
    <col min="3" max="4" width="17.140625" style="5" customWidth="1"/>
    <col min="5" max="6" width="14.85546875" style="5" customWidth="1"/>
    <col min="7" max="7" width="13.7109375" style="5" customWidth="1"/>
    <col min="8" max="13" width="18.28515625" style="5" customWidth="1"/>
    <col min="14" max="15" width="11.42578125" style="5" customWidth="1"/>
    <col min="16" max="17" width="18.28515625" style="5" customWidth="1"/>
    <col min="18" max="19" width="17.140625" style="5" customWidth="1"/>
    <col min="20" max="20" width="20.5703125" style="5" customWidth="1"/>
    <col min="21" max="21" width="16" style="5" customWidth="1"/>
    <col min="22" max="23" width="43.42578125" style="5" customWidth="1"/>
    <col min="24" max="16384" width="9.140625" style="5"/>
  </cols>
  <sheetData>
    <row r="1" spans="1:9">
      <c r="A1" s="5" t="s">
        <v>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17</v>
      </c>
      <c r="H1" s="5" t="s">
        <v>16</v>
      </c>
      <c r="I1" s="5" t="s">
        <v>95</v>
      </c>
    </row>
    <row r="2" spans="1:9">
      <c r="A2" s="5">
        <f>_xlfn.XLOOKUP(Asset_Master[[#This Row],[property_id]], Asset_Master[property_id], Asset_Master[gross_floor_area_sqft])</f>
        <v>165000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5230-A030-4CDC-BCBB-AD8D414D47A3}">
  <dimension ref="A1:V11"/>
  <sheetViews>
    <sheetView tabSelected="1" workbookViewId="0">
      <selection activeCell="E3" sqref="E3"/>
    </sheetView>
  </sheetViews>
  <sheetFormatPr defaultRowHeight="15"/>
  <cols>
    <col min="1" max="1" width="19.7109375" customWidth="1"/>
    <col min="2" max="2" width="19.140625" customWidth="1"/>
    <col min="5" max="5" width="18.42578125" customWidth="1"/>
  </cols>
  <sheetData>
    <row r="1" spans="1:22" s="1" customFormat="1" ht="60">
      <c r="A1" s="1" t="s">
        <v>0</v>
      </c>
      <c r="B1" s="1" t="s">
        <v>1</v>
      </c>
      <c r="C1" s="1" t="s">
        <v>6</v>
      </c>
      <c r="D1" s="1" t="s">
        <v>7</v>
      </c>
      <c r="E1" s="1" t="s">
        <v>74</v>
      </c>
      <c r="F1" s="1" t="s">
        <v>75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62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  <c r="T1" s="1" t="s">
        <v>539</v>
      </c>
      <c r="U1" s="1" t="s">
        <v>540</v>
      </c>
      <c r="V1" s="1" t="s">
        <v>541</v>
      </c>
    </row>
    <row r="2" spans="1:22">
      <c r="A2" s="32" t="s">
        <v>22</v>
      </c>
      <c r="B2" t="str">
        <f>_xlfn.XLOOKUP(A2,Asset_Master[property_id],Asset_Master[property_name])</f>
        <v>Riverbend Apartments</v>
      </c>
      <c r="C2">
        <f>_xlfn.XLOOKUP(A2,Asset_Master[property_id],Asset_Master[gross_floor_area_sqft])</f>
        <v>165000</v>
      </c>
      <c r="D2">
        <f>_xlfn.XLOOKUP(A2,Asset_Master[property_id],Asset_Master[units])</f>
        <v>180</v>
      </c>
    </row>
    <row r="3" spans="1:22">
      <c r="A3" s="33" t="s">
        <v>28</v>
      </c>
      <c r="B3" t="str">
        <f>_xlfn.XLOOKUP(A3,Asset_Master[property_id],Asset_Master[property_name])</f>
        <v>Lakeview Terrace</v>
      </c>
      <c r="C3">
        <f>_xlfn.XLOOKUP(A3,Asset_Master[property_id],Asset_Master[gross_floor_area_sqft])</f>
        <v>220000</v>
      </c>
      <c r="D3">
        <f>_xlfn.XLOOKUP(A3,Asset_Master[property_id],Asset_Master[units])</f>
        <v>240</v>
      </c>
    </row>
    <row r="4" spans="1:22">
      <c r="A4" s="32" t="s">
        <v>31</v>
      </c>
      <c r="B4" t="str">
        <f>_xlfn.XLOOKUP(A4,Asset_Master[property_id],Asset_Master[property_name])</f>
        <v>Northside Commons</v>
      </c>
      <c r="C4">
        <f>_xlfn.XLOOKUP(A4,Asset_Master[property_id],Asset_Master[gross_floor_area_sqft])</f>
        <v>145000</v>
      </c>
      <c r="D4">
        <f>_xlfn.XLOOKUP(A4,Asset_Master[property_id],Asset_Master[units])</f>
        <v>160</v>
      </c>
    </row>
    <row r="5" spans="1:22">
      <c r="A5" s="33" t="s">
        <v>35</v>
      </c>
      <c r="B5" t="str">
        <f>_xlfn.XLOOKUP(A5,Asset_Master[property_id],Asset_Master[property_name])</f>
        <v>Badger Ridge Homes</v>
      </c>
      <c r="C5">
        <f>_xlfn.XLOOKUP(A5,Asset_Master[property_id],Asset_Master[gross_floor_area_sqft])</f>
        <v>120000</v>
      </c>
      <c r="D5">
        <f>_xlfn.XLOOKUP(A5,Asset_Master[property_id],Asset_Master[units])</f>
        <v>130</v>
      </c>
    </row>
    <row r="6" spans="1:22">
      <c r="A6" s="32" t="s">
        <v>39</v>
      </c>
      <c r="B6" t="str">
        <f>_xlfn.XLOOKUP(A6,Asset_Master[property_id],Asset_Master[property_name])</f>
        <v>Oak Street Lofts</v>
      </c>
      <c r="C6">
        <f>_xlfn.XLOOKUP(A6,Asset_Master[property_id],Asset_Master[gross_floor_area_sqft])</f>
        <v>98000</v>
      </c>
      <c r="D6">
        <f>_xlfn.XLOOKUP(A6,Asset_Master[property_id],Asset_Master[units])</f>
        <v>105</v>
      </c>
    </row>
    <row r="7" spans="1:22">
      <c r="A7" s="33" t="s">
        <v>42</v>
      </c>
      <c r="B7" t="str">
        <f>_xlfn.XLOOKUP(A7,Asset_Master[property_id],Asset_Master[property_name])</f>
        <v>South Park Apartments</v>
      </c>
      <c r="C7">
        <f>_xlfn.XLOOKUP(A7,Asset_Master[property_id],Asset_Master[gross_floor_area_sqft])</f>
        <v>185000</v>
      </c>
      <c r="D7">
        <f>_xlfn.XLOOKUP(A7,Asset_Master[property_id],Asset_Master[units])</f>
        <v>210</v>
      </c>
    </row>
    <row r="8" spans="1:22">
      <c r="A8" s="32" t="s">
        <v>45</v>
      </c>
      <c r="B8" t="str">
        <f>_xlfn.XLOOKUP(A8,Asset_Master[property_id],Asset_Master[property_name])</f>
        <v>Fox River Flats</v>
      </c>
      <c r="C8">
        <f>_xlfn.XLOOKUP(A8,Asset_Master[property_id],Asset_Master[gross_floor_area_sqft])</f>
        <v>135000</v>
      </c>
      <c r="D8">
        <f>_xlfn.XLOOKUP(A8,Asset_Master[property_id],Asset_Master[units])</f>
        <v>150</v>
      </c>
    </row>
    <row r="9" spans="1:22">
      <c r="A9" s="33" t="s">
        <v>49</v>
      </c>
      <c r="B9" t="str">
        <f>_xlfn.XLOOKUP(A9,Asset_Master[property_id],Asset_Master[property_name])</f>
        <v>Prairie View Residences</v>
      </c>
      <c r="C9">
        <f>_xlfn.XLOOKUP(A9,Asset_Master[property_id],Asset_Master[gross_floor_area_sqft])</f>
        <v>110000</v>
      </c>
      <c r="D9">
        <f>_xlfn.XLOOKUP(A9,Asset_Master[property_id],Asset_Master[units])</f>
        <v>120</v>
      </c>
    </row>
    <row r="10" spans="1:22">
      <c r="A10" s="32" t="s">
        <v>52</v>
      </c>
      <c r="B10" t="str">
        <f>_xlfn.XLOOKUP(A10,Asset_Master[property_id],Asset_Master[property_name])</f>
        <v>Capitol Square Homes</v>
      </c>
      <c r="C10">
        <f>_xlfn.XLOOKUP(A10,Asset_Master[property_id],Asset_Master[gross_floor_area_sqft])</f>
        <v>175000</v>
      </c>
      <c r="D10">
        <f>_xlfn.XLOOKUP(A10,Asset_Master[property_id],Asset_Master[units])</f>
        <v>190</v>
      </c>
    </row>
    <row r="11" spans="1:22">
      <c r="A11" s="33" t="s">
        <v>54</v>
      </c>
      <c r="B11" t="str">
        <f>_xlfn.XLOOKUP(A11,Asset_Master[property_id],Asset_Master[property_name])</f>
        <v>Harbor Point Apartments</v>
      </c>
      <c r="C11">
        <f>_xlfn.XLOOKUP(A11,Asset_Master[property_id],Asset_Master[gross_floor_area_sqft])</f>
        <v>160000</v>
      </c>
      <c r="D11">
        <f>_xlfn.XLOOKUP(A11,Asset_Master[property_id],Asset_Master[units])</f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EADB-998C-498F-874D-F8D31B00E6C9}">
  <dimension ref="A1:N121"/>
  <sheetViews>
    <sheetView workbookViewId="0">
      <selection activeCell="F10" sqref="A2:N121"/>
    </sheetView>
  </sheetViews>
  <sheetFormatPr defaultRowHeight="14.25"/>
  <cols>
    <col min="1" max="1" width="13.7109375" style="5" customWidth="1"/>
    <col min="2" max="2" width="27.42578125" style="5" customWidth="1"/>
    <col min="3" max="4" width="10" style="5" customWidth="1"/>
    <col min="5" max="5" width="13.7109375" style="5" customWidth="1"/>
    <col min="6" max="9" width="18.28515625" style="5" customWidth="1"/>
    <col min="10" max="10" width="20" style="5" customWidth="1"/>
    <col min="11" max="11" width="23.5703125" style="5" customWidth="1"/>
    <col min="12" max="12" width="14.42578125" style="5" customWidth="1"/>
    <col min="13" max="13" width="24.85546875" style="5" customWidth="1"/>
    <col min="14" max="14" width="62.85546875" style="5" customWidth="1"/>
    <col min="15" max="16384" width="9.140625" style="5"/>
  </cols>
  <sheetData>
    <row r="1" spans="1:14" ht="32.1" customHeight="1">
      <c r="A1" s="12" t="s">
        <v>0</v>
      </c>
      <c r="B1" s="12" t="s">
        <v>1</v>
      </c>
      <c r="C1" s="12" t="s">
        <v>2</v>
      </c>
      <c r="D1" s="12" t="s">
        <v>4</v>
      </c>
      <c r="E1" s="12" t="s">
        <v>11</v>
      </c>
      <c r="F1" s="12" t="s">
        <v>89</v>
      </c>
      <c r="G1" s="12" t="s">
        <v>90</v>
      </c>
      <c r="H1" s="12" t="s">
        <v>91</v>
      </c>
      <c r="I1" s="12" t="s">
        <v>92</v>
      </c>
      <c r="J1" s="12" t="s">
        <v>93</v>
      </c>
      <c r="K1" s="12" t="s">
        <v>17</v>
      </c>
      <c r="L1" s="12" t="s">
        <v>16</v>
      </c>
      <c r="M1" s="12" t="s">
        <v>94</v>
      </c>
      <c r="N1" s="12" t="s">
        <v>95</v>
      </c>
    </row>
    <row r="2" spans="1:14">
      <c r="A2" s="5" t="s">
        <v>22</v>
      </c>
      <c r="B2" s="5" t="s">
        <v>23</v>
      </c>
      <c r="C2" s="5" t="s">
        <v>24</v>
      </c>
      <c r="D2" s="5" t="s">
        <v>25</v>
      </c>
      <c r="E2" s="13" t="s">
        <v>96</v>
      </c>
      <c r="F2" s="7">
        <v>803652</v>
      </c>
      <c r="G2" s="8">
        <v>3544.11</v>
      </c>
      <c r="H2" s="8">
        <v>4303.5600000000004</v>
      </c>
      <c r="I2" s="8">
        <v>7847.66</v>
      </c>
      <c r="J2" s="5" t="s">
        <v>97</v>
      </c>
      <c r="K2" s="5" t="s">
        <v>98</v>
      </c>
      <c r="L2" s="5" t="s">
        <v>58</v>
      </c>
      <c r="M2" s="10">
        <v>4464.7</v>
      </c>
      <c r="N2" s="5" t="s">
        <v>99</v>
      </c>
    </row>
    <row r="3" spans="1:14">
      <c r="A3" s="5" t="s">
        <v>22</v>
      </c>
      <c r="B3" s="5" t="s">
        <v>23</v>
      </c>
      <c r="C3" s="5" t="s">
        <v>24</v>
      </c>
      <c r="D3" s="5" t="s">
        <v>25</v>
      </c>
      <c r="E3" s="13" t="s">
        <v>100</v>
      </c>
      <c r="F3" s="7">
        <v>664746</v>
      </c>
      <c r="G3" s="8">
        <v>2931.53</v>
      </c>
      <c r="H3" s="8">
        <v>3559.71</v>
      </c>
      <c r="I3" s="8">
        <v>6491.24</v>
      </c>
      <c r="J3" s="5" t="s">
        <v>97</v>
      </c>
      <c r="K3" s="5" t="s">
        <v>98</v>
      </c>
      <c r="L3" s="5" t="s">
        <v>58</v>
      </c>
      <c r="M3" s="10">
        <v>3693</v>
      </c>
      <c r="N3" s="5" t="s">
        <v>99</v>
      </c>
    </row>
    <row r="4" spans="1:14">
      <c r="A4" s="5" t="s">
        <v>22</v>
      </c>
      <c r="B4" s="5" t="s">
        <v>23</v>
      </c>
      <c r="C4" s="5" t="s">
        <v>24</v>
      </c>
      <c r="D4" s="5" t="s">
        <v>25</v>
      </c>
      <c r="E4" s="13" t="s">
        <v>101</v>
      </c>
      <c r="F4" s="7">
        <v>808895</v>
      </c>
      <c r="G4" s="8">
        <v>3567.23</v>
      </c>
      <c r="H4" s="8">
        <v>4331.63</v>
      </c>
      <c r="I4" s="8">
        <v>7898.86</v>
      </c>
      <c r="J4" s="5" t="s">
        <v>97</v>
      </c>
      <c r="K4" s="5" t="s">
        <v>98</v>
      </c>
      <c r="L4" s="5" t="s">
        <v>58</v>
      </c>
      <c r="M4" s="10">
        <v>4493.8999999999996</v>
      </c>
      <c r="N4" s="5" t="s">
        <v>99</v>
      </c>
    </row>
    <row r="5" spans="1:14">
      <c r="A5" s="5" t="s">
        <v>22</v>
      </c>
      <c r="B5" s="5" t="s">
        <v>23</v>
      </c>
      <c r="C5" s="5" t="s">
        <v>24</v>
      </c>
      <c r="D5" s="5" t="s">
        <v>25</v>
      </c>
      <c r="E5" s="13" t="s">
        <v>102</v>
      </c>
      <c r="F5" s="7">
        <v>804546</v>
      </c>
      <c r="G5" s="8">
        <v>3548.05</v>
      </c>
      <c r="H5" s="8">
        <v>4308.34</v>
      </c>
      <c r="I5" s="8">
        <v>7856.39</v>
      </c>
      <c r="J5" s="5" t="s">
        <v>97</v>
      </c>
      <c r="K5" s="5" t="s">
        <v>98</v>
      </c>
      <c r="L5" s="5" t="s">
        <v>58</v>
      </c>
      <c r="M5" s="10">
        <v>4469.7</v>
      </c>
      <c r="N5" s="5" t="s">
        <v>99</v>
      </c>
    </row>
    <row r="6" spans="1:14">
      <c r="A6" s="5" t="s">
        <v>22</v>
      </c>
      <c r="B6" s="5" t="s">
        <v>23</v>
      </c>
      <c r="C6" s="5" t="s">
        <v>24</v>
      </c>
      <c r="D6" s="5" t="s">
        <v>25</v>
      </c>
      <c r="E6" s="13" t="s">
        <v>103</v>
      </c>
      <c r="F6" s="7">
        <v>923382</v>
      </c>
      <c r="G6" s="8">
        <v>4072.12</v>
      </c>
      <c r="H6" s="8">
        <v>4944.71</v>
      </c>
      <c r="I6" s="8">
        <v>9016.83</v>
      </c>
      <c r="J6" s="5" t="s">
        <v>104</v>
      </c>
      <c r="K6" s="5" t="s">
        <v>98</v>
      </c>
      <c r="L6" s="5" t="s">
        <v>58</v>
      </c>
      <c r="M6" s="10">
        <v>5129.8999999999996</v>
      </c>
      <c r="N6" s="5" t="s">
        <v>99</v>
      </c>
    </row>
    <row r="7" spans="1:14">
      <c r="A7" s="5" t="s">
        <v>22</v>
      </c>
      <c r="B7" s="5" t="s">
        <v>23</v>
      </c>
      <c r="C7" s="5" t="s">
        <v>24</v>
      </c>
      <c r="D7" s="5" t="s">
        <v>25</v>
      </c>
      <c r="E7" s="13" t="s">
        <v>105</v>
      </c>
      <c r="F7" s="7">
        <v>1018532</v>
      </c>
      <c r="G7" s="8">
        <v>4491.7299999999996</v>
      </c>
      <c r="H7" s="8">
        <v>5454.24</v>
      </c>
      <c r="I7" s="8">
        <v>9945.9699999999993</v>
      </c>
      <c r="J7" s="5" t="s">
        <v>104</v>
      </c>
      <c r="K7" s="5" t="s">
        <v>98</v>
      </c>
      <c r="L7" s="5" t="s">
        <v>58</v>
      </c>
      <c r="M7" s="10">
        <v>5658.5</v>
      </c>
      <c r="N7" s="5" t="s">
        <v>99</v>
      </c>
    </row>
    <row r="8" spans="1:14">
      <c r="A8" s="5" t="s">
        <v>22</v>
      </c>
      <c r="B8" s="5" t="s">
        <v>23</v>
      </c>
      <c r="C8" s="5" t="s">
        <v>24</v>
      </c>
      <c r="D8" s="5" t="s">
        <v>25</v>
      </c>
      <c r="E8" s="13" t="s">
        <v>106</v>
      </c>
      <c r="F8" s="7">
        <v>1133183</v>
      </c>
      <c r="G8" s="8">
        <v>4997.34</v>
      </c>
      <c r="H8" s="8">
        <v>6068.2</v>
      </c>
      <c r="I8" s="8">
        <v>11065.53</v>
      </c>
      <c r="J8" s="5" t="s">
        <v>104</v>
      </c>
      <c r="K8" s="5" t="s">
        <v>98</v>
      </c>
      <c r="L8" s="5" t="s">
        <v>58</v>
      </c>
      <c r="M8" s="10">
        <v>6295.5</v>
      </c>
      <c r="N8" s="5" t="s">
        <v>99</v>
      </c>
    </row>
    <row r="9" spans="1:14">
      <c r="A9" s="5" t="s">
        <v>22</v>
      </c>
      <c r="B9" s="5" t="s">
        <v>23</v>
      </c>
      <c r="C9" s="5" t="s">
        <v>24</v>
      </c>
      <c r="D9" s="5" t="s">
        <v>25</v>
      </c>
      <c r="E9" s="13" t="s">
        <v>107</v>
      </c>
      <c r="F9" s="7">
        <v>1053458</v>
      </c>
      <c r="G9" s="8">
        <v>4645.75</v>
      </c>
      <c r="H9" s="8">
        <v>5641.27</v>
      </c>
      <c r="I9" s="8">
        <v>10287.02</v>
      </c>
      <c r="J9" s="5" t="s">
        <v>104</v>
      </c>
      <c r="K9" s="5" t="s">
        <v>98</v>
      </c>
      <c r="L9" s="5" t="s">
        <v>58</v>
      </c>
      <c r="M9" s="10">
        <v>5852.5</v>
      </c>
      <c r="N9" s="5" t="s">
        <v>99</v>
      </c>
    </row>
    <row r="10" spans="1:14">
      <c r="A10" s="5" t="s">
        <v>22</v>
      </c>
      <c r="B10" s="5" t="s">
        <v>23</v>
      </c>
      <c r="C10" s="5" t="s">
        <v>24</v>
      </c>
      <c r="D10" s="5" t="s">
        <v>25</v>
      </c>
      <c r="E10" s="13" t="s">
        <v>108</v>
      </c>
      <c r="F10" s="7">
        <v>899219</v>
      </c>
      <c r="G10" s="8">
        <v>3965.55</v>
      </c>
      <c r="H10" s="8">
        <v>4815.32</v>
      </c>
      <c r="I10" s="8">
        <v>8780.8700000000008</v>
      </c>
      <c r="J10" s="5" t="s">
        <v>104</v>
      </c>
      <c r="K10" s="5" t="s">
        <v>98</v>
      </c>
      <c r="L10" s="5" t="s">
        <v>58</v>
      </c>
      <c r="M10" s="10">
        <v>4995.7</v>
      </c>
      <c r="N10" s="5" t="s">
        <v>99</v>
      </c>
    </row>
    <row r="11" spans="1:14">
      <c r="A11" s="5" t="s">
        <v>22</v>
      </c>
      <c r="B11" s="5" t="s">
        <v>23</v>
      </c>
      <c r="C11" s="5" t="s">
        <v>24</v>
      </c>
      <c r="D11" s="5" t="s">
        <v>25</v>
      </c>
      <c r="E11" s="13" t="s">
        <v>109</v>
      </c>
      <c r="F11" s="7">
        <v>836618</v>
      </c>
      <c r="G11" s="8">
        <v>3689.49</v>
      </c>
      <c r="H11" s="8">
        <v>4480.09</v>
      </c>
      <c r="I11" s="8">
        <v>8169.57</v>
      </c>
      <c r="J11" s="5" t="s">
        <v>97</v>
      </c>
      <c r="K11" s="5" t="s">
        <v>98</v>
      </c>
      <c r="L11" s="5" t="s">
        <v>58</v>
      </c>
      <c r="M11" s="10">
        <v>4647.8999999999996</v>
      </c>
      <c r="N11" s="5" t="s">
        <v>99</v>
      </c>
    </row>
    <row r="12" spans="1:14">
      <c r="A12" s="5" t="s">
        <v>22</v>
      </c>
      <c r="B12" s="5" t="s">
        <v>23</v>
      </c>
      <c r="C12" s="5" t="s">
        <v>24</v>
      </c>
      <c r="D12" s="5" t="s">
        <v>25</v>
      </c>
      <c r="E12" s="13" t="s">
        <v>110</v>
      </c>
      <c r="F12" s="7">
        <v>771455</v>
      </c>
      <c r="G12" s="8">
        <v>3402.12</v>
      </c>
      <c r="H12" s="8">
        <v>4131.1400000000003</v>
      </c>
      <c r="I12" s="8">
        <v>7533.26</v>
      </c>
      <c r="J12" s="5" t="s">
        <v>97</v>
      </c>
      <c r="K12" s="5" t="s">
        <v>98</v>
      </c>
      <c r="L12" s="5" t="s">
        <v>58</v>
      </c>
      <c r="M12" s="10">
        <v>4285.8999999999996</v>
      </c>
      <c r="N12" s="5" t="s">
        <v>99</v>
      </c>
    </row>
    <row r="13" spans="1:14">
      <c r="A13" s="5" t="s">
        <v>22</v>
      </c>
      <c r="B13" s="5" t="s">
        <v>23</v>
      </c>
      <c r="C13" s="5" t="s">
        <v>24</v>
      </c>
      <c r="D13" s="5" t="s">
        <v>25</v>
      </c>
      <c r="E13" s="13" t="s">
        <v>111</v>
      </c>
      <c r="F13" s="7">
        <v>804837</v>
      </c>
      <c r="G13" s="8">
        <v>3549.33</v>
      </c>
      <c r="H13" s="8">
        <v>4309.8999999999996</v>
      </c>
      <c r="I13" s="8">
        <v>7859.23</v>
      </c>
      <c r="J13" s="5" t="s">
        <v>97</v>
      </c>
      <c r="K13" s="5" t="s">
        <v>98</v>
      </c>
      <c r="L13" s="5" t="s">
        <v>58</v>
      </c>
      <c r="M13" s="10">
        <v>4471.3</v>
      </c>
      <c r="N13" s="5" t="s">
        <v>99</v>
      </c>
    </row>
    <row r="14" spans="1:14">
      <c r="A14" s="5" t="s">
        <v>28</v>
      </c>
      <c r="B14" s="5" t="s">
        <v>29</v>
      </c>
      <c r="C14" s="5" t="s">
        <v>30</v>
      </c>
      <c r="D14" s="5" t="s">
        <v>30</v>
      </c>
      <c r="E14" s="13" t="s">
        <v>96</v>
      </c>
      <c r="F14" s="7">
        <v>1236953</v>
      </c>
      <c r="G14" s="8">
        <v>5818.63</v>
      </c>
      <c r="H14" s="8">
        <v>7065.47</v>
      </c>
      <c r="I14" s="8">
        <v>12884.1</v>
      </c>
      <c r="J14" s="5" t="s">
        <v>97</v>
      </c>
      <c r="K14" s="5" t="s">
        <v>98</v>
      </c>
      <c r="L14" s="5" t="s">
        <v>58</v>
      </c>
      <c r="M14" s="10">
        <v>5154</v>
      </c>
      <c r="N14" s="5" t="s">
        <v>99</v>
      </c>
    </row>
    <row r="15" spans="1:14">
      <c r="A15" s="5" t="s">
        <v>28</v>
      </c>
      <c r="B15" s="5" t="s">
        <v>29</v>
      </c>
      <c r="C15" s="5" t="s">
        <v>30</v>
      </c>
      <c r="D15" s="5" t="s">
        <v>30</v>
      </c>
      <c r="E15" s="13" t="s">
        <v>100</v>
      </c>
      <c r="F15" s="7">
        <v>1082003</v>
      </c>
      <c r="G15" s="8">
        <v>5089.74</v>
      </c>
      <c r="H15" s="8">
        <v>6180.4</v>
      </c>
      <c r="I15" s="8">
        <v>11270.14</v>
      </c>
      <c r="J15" s="5" t="s">
        <v>97</v>
      </c>
      <c r="K15" s="5" t="s">
        <v>98</v>
      </c>
      <c r="L15" s="5" t="s">
        <v>58</v>
      </c>
      <c r="M15" s="10">
        <v>4508.3</v>
      </c>
      <c r="N15" s="5" t="s">
        <v>99</v>
      </c>
    </row>
    <row r="16" spans="1:14">
      <c r="A16" s="5" t="s">
        <v>28</v>
      </c>
      <c r="B16" s="5" t="s">
        <v>29</v>
      </c>
      <c r="C16" s="5" t="s">
        <v>30</v>
      </c>
      <c r="D16" s="5" t="s">
        <v>30</v>
      </c>
      <c r="E16" s="13" t="s">
        <v>101</v>
      </c>
      <c r="F16" s="7">
        <v>1334932</v>
      </c>
      <c r="G16" s="8">
        <v>6279.52</v>
      </c>
      <c r="H16" s="8">
        <v>7625.13</v>
      </c>
      <c r="I16" s="8">
        <v>13904.66</v>
      </c>
      <c r="J16" s="5" t="s">
        <v>97</v>
      </c>
      <c r="K16" s="5" t="s">
        <v>98</v>
      </c>
      <c r="L16" s="5" t="s">
        <v>58</v>
      </c>
      <c r="M16" s="10">
        <v>5562.2</v>
      </c>
      <c r="N16" s="5" t="s">
        <v>99</v>
      </c>
    </row>
    <row r="17" spans="1:14">
      <c r="A17" s="5" t="s">
        <v>28</v>
      </c>
      <c r="B17" s="5" t="s">
        <v>29</v>
      </c>
      <c r="C17" s="5" t="s">
        <v>30</v>
      </c>
      <c r="D17" s="5" t="s">
        <v>30</v>
      </c>
      <c r="E17" s="13" t="s">
        <v>102</v>
      </c>
      <c r="F17" s="7">
        <v>1322978</v>
      </c>
      <c r="G17" s="8">
        <v>6223.29</v>
      </c>
      <c r="H17" s="8">
        <v>7556.85</v>
      </c>
      <c r="I17" s="8">
        <v>13780.14</v>
      </c>
      <c r="J17" s="5" t="s">
        <v>97</v>
      </c>
      <c r="K17" s="5" t="s">
        <v>98</v>
      </c>
      <c r="L17" s="5" t="s">
        <v>58</v>
      </c>
      <c r="M17" s="10">
        <v>5512.4</v>
      </c>
      <c r="N17" s="5" t="s">
        <v>99</v>
      </c>
    </row>
    <row r="18" spans="1:14">
      <c r="A18" s="5" t="s">
        <v>28</v>
      </c>
      <c r="B18" s="5" t="s">
        <v>29</v>
      </c>
      <c r="C18" s="5" t="s">
        <v>30</v>
      </c>
      <c r="D18" s="5" t="s">
        <v>30</v>
      </c>
      <c r="E18" s="13" t="s">
        <v>103</v>
      </c>
      <c r="F18" s="7">
        <v>1431559</v>
      </c>
      <c r="G18" s="8">
        <v>6734.05</v>
      </c>
      <c r="H18" s="8">
        <v>8177.06</v>
      </c>
      <c r="I18" s="8">
        <v>14911.11</v>
      </c>
      <c r="J18" s="5" t="s">
        <v>104</v>
      </c>
      <c r="K18" s="5" t="s">
        <v>98</v>
      </c>
      <c r="L18" s="5" t="s">
        <v>58</v>
      </c>
      <c r="M18" s="10">
        <v>5964.8</v>
      </c>
      <c r="N18" s="5" t="s">
        <v>99</v>
      </c>
    </row>
    <row r="19" spans="1:14">
      <c r="A19" s="5" t="s">
        <v>28</v>
      </c>
      <c r="B19" s="5" t="s">
        <v>29</v>
      </c>
      <c r="C19" s="5" t="s">
        <v>30</v>
      </c>
      <c r="D19" s="5" t="s">
        <v>30</v>
      </c>
      <c r="E19" s="13" t="s">
        <v>105</v>
      </c>
      <c r="F19" s="7">
        <v>1627353</v>
      </c>
      <c r="G19" s="8">
        <v>7655.07</v>
      </c>
      <c r="H19" s="8">
        <v>9295.44</v>
      </c>
      <c r="I19" s="8">
        <v>16950.509999999998</v>
      </c>
      <c r="J19" s="5" t="s">
        <v>104</v>
      </c>
      <c r="K19" s="5" t="s">
        <v>98</v>
      </c>
      <c r="L19" s="5" t="s">
        <v>58</v>
      </c>
      <c r="M19" s="10">
        <v>6780.6</v>
      </c>
      <c r="N19" s="5" t="s">
        <v>99</v>
      </c>
    </row>
    <row r="20" spans="1:14">
      <c r="A20" s="5" t="s">
        <v>28</v>
      </c>
      <c r="B20" s="5" t="s">
        <v>29</v>
      </c>
      <c r="C20" s="5" t="s">
        <v>30</v>
      </c>
      <c r="D20" s="5" t="s">
        <v>30</v>
      </c>
      <c r="E20" s="13" t="s">
        <v>106</v>
      </c>
      <c r="F20" s="7">
        <v>1811279</v>
      </c>
      <c r="G20" s="8">
        <v>8520.26</v>
      </c>
      <c r="H20" s="8">
        <v>10346.030000000001</v>
      </c>
      <c r="I20" s="8">
        <v>18866.28</v>
      </c>
      <c r="J20" s="5" t="s">
        <v>104</v>
      </c>
      <c r="K20" s="5" t="s">
        <v>98</v>
      </c>
      <c r="L20" s="5" t="s">
        <v>58</v>
      </c>
      <c r="M20" s="10">
        <v>7547</v>
      </c>
      <c r="N20" s="5" t="s">
        <v>99</v>
      </c>
    </row>
    <row r="21" spans="1:14">
      <c r="A21" s="5" t="s">
        <v>28</v>
      </c>
      <c r="B21" s="5" t="s">
        <v>29</v>
      </c>
      <c r="C21" s="5" t="s">
        <v>30</v>
      </c>
      <c r="D21" s="5" t="s">
        <v>30</v>
      </c>
      <c r="E21" s="13" t="s">
        <v>107</v>
      </c>
      <c r="F21" s="7">
        <v>1683575</v>
      </c>
      <c r="G21" s="8">
        <v>7919.54</v>
      </c>
      <c r="H21" s="8">
        <v>9616.58</v>
      </c>
      <c r="I21" s="8">
        <v>17536.11</v>
      </c>
      <c r="J21" s="5" t="s">
        <v>104</v>
      </c>
      <c r="K21" s="5" t="s">
        <v>98</v>
      </c>
      <c r="L21" s="5" t="s">
        <v>58</v>
      </c>
      <c r="M21" s="10">
        <v>7014.9</v>
      </c>
      <c r="N21" s="5" t="s">
        <v>99</v>
      </c>
    </row>
    <row r="22" spans="1:14">
      <c r="A22" s="5" t="s">
        <v>28</v>
      </c>
      <c r="B22" s="5" t="s">
        <v>29</v>
      </c>
      <c r="C22" s="5" t="s">
        <v>30</v>
      </c>
      <c r="D22" s="5" t="s">
        <v>30</v>
      </c>
      <c r="E22" s="13" t="s">
        <v>108</v>
      </c>
      <c r="F22" s="7">
        <v>1484517</v>
      </c>
      <c r="G22" s="8">
        <v>6983.17</v>
      </c>
      <c r="H22" s="8">
        <v>8479.56</v>
      </c>
      <c r="I22" s="8">
        <v>15462.73</v>
      </c>
      <c r="J22" s="5" t="s">
        <v>104</v>
      </c>
      <c r="K22" s="5" t="s">
        <v>98</v>
      </c>
      <c r="L22" s="5" t="s">
        <v>58</v>
      </c>
      <c r="M22" s="10">
        <v>6185.5</v>
      </c>
      <c r="N22" s="5" t="s">
        <v>99</v>
      </c>
    </row>
    <row r="23" spans="1:14">
      <c r="A23" s="5" t="s">
        <v>28</v>
      </c>
      <c r="B23" s="5" t="s">
        <v>29</v>
      </c>
      <c r="C23" s="5" t="s">
        <v>30</v>
      </c>
      <c r="D23" s="5" t="s">
        <v>30</v>
      </c>
      <c r="E23" s="13" t="s">
        <v>109</v>
      </c>
      <c r="F23" s="7">
        <v>1409889</v>
      </c>
      <c r="G23" s="8">
        <v>6632.12</v>
      </c>
      <c r="H23" s="8">
        <v>8053.29</v>
      </c>
      <c r="I23" s="8">
        <v>14685.41</v>
      </c>
      <c r="J23" s="5" t="s">
        <v>97</v>
      </c>
      <c r="K23" s="5" t="s">
        <v>98</v>
      </c>
      <c r="L23" s="5" t="s">
        <v>58</v>
      </c>
      <c r="M23" s="10">
        <v>5874.5</v>
      </c>
      <c r="N23" s="5" t="s">
        <v>99</v>
      </c>
    </row>
    <row r="24" spans="1:14">
      <c r="A24" s="5" t="s">
        <v>28</v>
      </c>
      <c r="B24" s="5" t="s">
        <v>29</v>
      </c>
      <c r="C24" s="5" t="s">
        <v>30</v>
      </c>
      <c r="D24" s="5" t="s">
        <v>30</v>
      </c>
      <c r="E24" s="13" t="s">
        <v>110</v>
      </c>
      <c r="F24" s="7">
        <v>1225836</v>
      </c>
      <c r="G24" s="8">
        <v>5766.33</v>
      </c>
      <c r="H24" s="8">
        <v>7001.98</v>
      </c>
      <c r="I24" s="8">
        <v>12768.31</v>
      </c>
      <c r="J24" s="5" t="s">
        <v>97</v>
      </c>
      <c r="K24" s="5" t="s">
        <v>98</v>
      </c>
      <c r="L24" s="5" t="s">
        <v>112</v>
      </c>
      <c r="M24" s="10">
        <v>5107.7</v>
      </c>
      <c r="N24" s="5" t="s">
        <v>99</v>
      </c>
    </row>
    <row r="25" spans="1:14">
      <c r="A25" s="5" t="s">
        <v>28</v>
      </c>
      <c r="B25" s="5" t="s">
        <v>29</v>
      </c>
      <c r="C25" s="5" t="s">
        <v>30</v>
      </c>
      <c r="D25" s="5" t="s">
        <v>30</v>
      </c>
      <c r="E25" s="13" t="s">
        <v>111</v>
      </c>
      <c r="F25" s="7">
        <v>1262071</v>
      </c>
      <c r="G25" s="8">
        <v>5936.78</v>
      </c>
      <c r="H25" s="8">
        <v>7208.95</v>
      </c>
      <c r="I25" s="8">
        <v>13145.73</v>
      </c>
      <c r="J25" s="5" t="s">
        <v>97</v>
      </c>
      <c r="K25" s="5" t="s">
        <v>98</v>
      </c>
      <c r="L25" s="5" t="s">
        <v>58</v>
      </c>
      <c r="M25" s="10">
        <v>5258.6</v>
      </c>
      <c r="N25" s="5" t="s">
        <v>99</v>
      </c>
    </row>
    <row r="26" spans="1:14">
      <c r="A26" s="5" t="s">
        <v>31</v>
      </c>
      <c r="B26" s="5" t="s">
        <v>32</v>
      </c>
      <c r="C26" s="5" t="s">
        <v>33</v>
      </c>
      <c r="D26" s="5" t="s">
        <v>34</v>
      </c>
      <c r="E26" s="13" t="s">
        <v>96</v>
      </c>
      <c r="F26" s="7">
        <v>707765</v>
      </c>
      <c r="G26" s="8">
        <v>2913.16</v>
      </c>
      <c r="H26" s="8">
        <v>3537.41</v>
      </c>
      <c r="I26" s="8">
        <v>6450.57</v>
      </c>
      <c r="J26" s="5" t="s">
        <v>97</v>
      </c>
      <c r="K26" s="5" t="s">
        <v>98</v>
      </c>
      <c r="L26" s="5" t="s">
        <v>58</v>
      </c>
      <c r="M26" s="10">
        <v>4423.5</v>
      </c>
      <c r="N26" s="5" t="s">
        <v>99</v>
      </c>
    </row>
    <row r="27" spans="1:14">
      <c r="A27" s="5" t="s">
        <v>31</v>
      </c>
      <c r="B27" s="5" t="s">
        <v>32</v>
      </c>
      <c r="C27" s="5" t="s">
        <v>33</v>
      </c>
      <c r="D27" s="5" t="s">
        <v>34</v>
      </c>
      <c r="E27" s="13" t="s">
        <v>100</v>
      </c>
      <c r="F27" s="7">
        <v>585736</v>
      </c>
      <c r="G27" s="8">
        <v>2410.89</v>
      </c>
      <c r="H27" s="8">
        <v>2927.51</v>
      </c>
      <c r="I27" s="8">
        <v>5338.4</v>
      </c>
      <c r="J27" s="5" t="s">
        <v>97</v>
      </c>
      <c r="K27" s="5" t="s">
        <v>98</v>
      </c>
      <c r="L27" s="5" t="s">
        <v>58</v>
      </c>
      <c r="M27" s="10">
        <v>3660.9</v>
      </c>
      <c r="N27" s="5" t="s">
        <v>99</v>
      </c>
    </row>
    <row r="28" spans="1:14">
      <c r="A28" s="5" t="s">
        <v>31</v>
      </c>
      <c r="B28" s="5" t="s">
        <v>32</v>
      </c>
      <c r="C28" s="5" t="s">
        <v>33</v>
      </c>
      <c r="D28" s="5" t="s">
        <v>34</v>
      </c>
      <c r="E28" s="13" t="s">
        <v>101</v>
      </c>
      <c r="F28" s="7">
        <v>687990</v>
      </c>
      <c r="G28" s="8">
        <v>2831.77</v>
      </c>
      <c r="H28" s="8">
        <v>3438.58</v>
      </c>
      <c r="I28" s="8">
        <v>6270.34</v>
      </c>
      <c r="J28" s="5" t="s">
        <v>97</v>
      </c>
      <c r="K28" s="5" t="s">
        <v>98</v>
      </c>
      <c r="L28" s="5" t="s">
        <v>58</v>
      </c>
      <c r="M28" s="10">
        <v>4299.8999999999996</v>
      </c>
      <c r="N28" s="5" t="s">
        <v>99</v>
      </c>
    </row>
    <row r="29" spans="1:14">
      <c r="A29" s="5" t="s">
        <v>31</v>
      </c>
      <c r="B29" s="5" t="s">
        <v>32</v>
      </c>
      <c r="C29" s="5" t="s">
        <v>33</v>
      </c>
      <c r="D29" s="5" t="s">
        <v>34</v>
      </c>
      <c r="E29" s="13" t="s">
        <v>102</v>
      </c>
      <c r="F29" s="7">
        <v>687019</v>
      </c>
      <c r="G29" s="8">
        <v>2827.77</v>
      </c>
      <c r="H29" s="8">
        <v>3433.72</v>
      </c>
      <c r="I29" s="8">
        <v>6261.49</v>
      </c>
      <c r="J29" s="5" t="s">
        <v>97</v>
      </c>
      <c r="K29" s="5" t="s">
        <v>98</v>
      </c>
      <c r="L29" s="5" t="s">
        <v>58</v>
      </c>
      <c r="M29" s="10">
        <v>4293.8999999999996</v>
      </c>
      <c r="N29" s="5" t="s">
        <v>99</v>
      </c>
    </row>
    <row r="30" spans="1:14">
      <c r="A30" s="5" t="s">
        <v>31</v>
      </c>
      <c r="B30" s="5" t="s">
        <v>32</v>
      </c>
      <c r="C30" s="5" t="s">
        <v>33</v>
      </c>
      <c r="D30" s="5" t="s">
        <v>34</v>
      </c>
      <c r="E30" s="13" t="s">
        <v>103</v>
      </c>
      <c r="F30" s="7">
        <v>801764</v>
      </c>
      <c r="G30" s="8">
        <v>3300.06</v>
      </c>
      <c r="H30" s="8">
        <v>4007.21</v>
      </c>
      <c r="I30" s="8">
        <v>7307.27</v>
      </c>
      <c r="J30" s="5" t="s">
        <v>104</v>
      </c>
      <c r="K30" s="5" t="s">
        <v>98</v>
      </c>
      <c r="L30" s="5" t="s">
        <v>58</v>
      </c>
      <c r="M30" s="10">
        <v>5011</v>
      </c>
      <c r="N30" s="5" t="s">
        <v>99</v>
      </c>
    </row>
    <row r="31" spans="1:14">
      <c r="A31" s="5" t="s">
        <v>31</v>
      </c>
      <c r="B31" s="5" t="s">
        <v>32</v>
      </c>
      <c r="C31" s="5" t="s">
        <v>33</v>
      </c>
      <c r="D31" s="5" t="s">
        <v>34</v>
      </c>
      <c r="E31" s="13" t="s">
        <v>105</v>
      </c>
      <c r="F31" s="7">
        <v>873243</v>
      </c>
      <c r="G31" s="8">
        <v>3594.27</v>
      </c>
      <c r="H31" s="8">
        <v>4364.47</v>
      </c>
      <c r="I31" s="8">
        <v>7958.74</v>
      </c>
      <c r="J31" s="5" t="s">
        <v>104</v>
      </c>
      <c r="K31" s="5" t="s">
        <v>98</v>
      </c>
      <c r="L31" s="5" t="s">
        <v>58</v>
      </c>
      <c r="M31" s="10">
        <v>5457.8</v>
      </c>
      <c r="N31" s="5" t="s">
        <v>99</v>
      </c>
    </row>
    <row r="32" spans="1:14">
      <c r="A32" s="5" t="s">
        <v>31</v>
      </c>
      <c r="B32" s="5" t="s">
        <v>32</v>
      </c>
      <c r="C32" s="5" t="s">
        <v>33</v>
      </c>
      <c r="D32" s="5" t="s">
        <v>34</v>
      </c>
      <c r="E32" s="13" t="s">
        <v>106</v>
      </c>
      <c r="F32" s="7">
        <v>970808</v>
      </c>
      <c r="G32" s="8">
        <v>3995.85</v>
      </c>
      <c r="H32" s="8">
        <v>4852.1000000000004</v>
      </c>
      <c r="I32" s="8">
        <v>8847.9500000000007</v>
      </c>
      <c r="J32" s="5" t="s">
        <v>104</v>
      </c>
      <c r="K32" s="5" t="s">
        <v>98</v>
      </c>
      <c r="L32" s="5" t="s">
        <v>58</v>
      </c>
      <c r="M32" s="10">
        <v>6067.6</v>
      </c>
      <c r="N32" s="5" t="s">
        <v>99</v>
      </c>
    </row>
    <row r="33" spans="1:14">
      <c r="A33" s="5" t="s">
        <v>31</v>
      </c>
      <c r="B33" s="5" t="s">
        <v>32</v>
      </c>
      <c r="C33" s="5" t="s">
        <v>33</v>
      </c>
      <c r="D33" s="5" t="s">
        <v>34</v>
      </c>
      <c r="E33" s="13" t="s">
        <v>107</v>
      </c>
      <c r="F33" s="7">
        <v>949829</v>
      </c>
      <c r="G33" s="8">
        <v>3909.5</v>
      </c>
      <c r="H33" s="8">
        <v>4747.24</v>
      </c>
      <c r="I33" s="8">
        <v>8656.74</v>
      </c>
      <c r="J33" s="5" t="s">
        <v>104</v>
      </c>
      <c r="K33" s="5" t="s">
        <v>98</v>
      </c>
      <c r="L33" s="5" t="s">
        <v>58</v>
      </c>
      <c r="M33" s="10">
        <v>5936.4</v>
      </c>
      <c r="N33" s="5" t="s">
        <v>99</v>
      </c>
    </row>
    <row r="34" spans="1:14">
      <c r="A34" s="5" t="s">
        <v>31</v>
      </c>
      <c r="B34" s="5" t="s">
        <v>32</v>
      </c>
      <c r="C34" s="5" t="s">
        <v>33</v>
      </c>
      <c r="D34" s="5" t="s">
        <v>34</v>
      </c>
      <c r="E34" s="13" t="s">
        <v>108</v>
      </c>
      <c r="F34" s="7">
        <v>781093</v>
      </c>
      <c r="G34" s="8">
        <v>3214.98</v>
      </c>
      <c r="H34" s="8">
        <v>3903.9</v>
      </c>
      <c r="I34" s="8">
        <v>7118.88</v>
      </c>
      <c r="J34" s="5" t="s">
        <v>104</v>
      </c>
      <c r="K34" s="5" t="s">
        <v>98</v>
      </c>
      <c r="L34" s="5" t="s">
        <v>58</v>
      </c>
      <c r="M34" s="10">
        <v>4881.8</v>
      </c>
      <c r="N34" s="5" t="s">
        <v>99</v>
      </c>
    </row>
    <row r="35" spans="1:14">
      <c r="A35" s="5" t="s">
        <v>31</v>
      </c>
      <c r="B35" s="5" t="s">
        <v>32</v>
      </c>
      <c r="C35" s="5" t="s">
        <v>33</v>
      </c>
      <c r="D35" s="5" t="s">
        <v>34</v>
      </c>
      <c r="E35" s="13" t="s">
        <v>109</v>
      </c>
      <c r="F35" s="7">
        <v>770139</v>
      </c>
      <c r="G35" s="8">
        <v>3169.89</v>
      </c>
      <c r="H35" s="8">
        <v>3849.16</v>
      </c>
      <c r="I35" s="8">
        <v>7019.05</v>
      </c>
      <c r="J35" s="5" t="s">
        <v>97</v>
      </c>
      <c r="K35" s="5" t="s">
        <v>98</v>
      </c>
      <c r="L35" s="5" t="s">
        <v>58</v>
      </c>
      <c r="M35" s="10">
        <v>4813.3999999999996</v>
      </c>
      <c r="N35" s="5" t="s">
        <v>99</v>
      </c>
    </row>
    <row r="36" spans="1:14">
      <c r="A36" s="5" t="s">
        <v>31</v>
      </c>
      <c r="B36" s="5" t="s">
        <v>32</v>
      </c>
      <c r="C36" s="5" t="s">
        <v>33</v>
      </c>
      <c r="D36" s="5" t="s">
        <v>34</v>
      </c>
      <c r="E36" s="13" t="s">
        <v>110</v>
      </c>
      <c r="F36" s="7">
        <v>672355</v>
      </c>
      <c r="G36" s="8">
        <v>2767.41</v>
      </c>
      <c r="H36" s="8">
        <v>3360.43</v>
      </c>
      <c r="I36" s="8">
        <v>6127.84</v>
      </c>
      <c r="J36" s="5" t="s">
        <v>97</v>
      </c>
      <c r="K36" s="5" t="s">
        <v>98</v>
      </c>
      <c r="L36" s="5" t="s">
        <v>58</v>
      </c>
      <c r="M36" s="10">
        <v>4202.2</v>
      </c>
      <c r="N36" s="5" t="s">
        <v>99</v>
      </c>
    </row>
    <row r="37" spans="1:14">
      <c r="A37" s="5" t="s">
        <v>31</v>
      </c>
      <c r="B37" s="5" t="s">
        <v>32</v>
      </c>
      <c r="C37" s="5" t="s">
        <v>33</v>
      </c>
      <c r="D37" s="5" t="s">
        <v>34</v>
      </c>
      <c r="E37" s="13" t="s">
        <v>111</v>
      </c>
      <c r="F37" s="7">
        <v>695795</v>
      </c>
      <c r="G37" s="8">
        <v>2863.89</v>
      </c>
      <c r="H37" s="8">
        <v>3477.59</v>
      </c>
      <c r="I37" s="8">
        <v>6341.48</v>
      </c>
      <c r="J37" s="5" t="s">
        <v>97</v>
      </c>
      <c r="K37" s="5" t="s">
        <v>98</v>
      </c>
      <c r="L37" s="5" t="s">
        <v>58</v>
      </c>
      <c r="M37" s="10">
        <v>4348.7</v>
      </c>
      <c r="N37" s="5" t="s">
        <v>99</v>
      </c>
    </row>
    <row r="38" spans="1:14">
      <c r="A38" s="5" t="s">
        <v>35</v>
      </c>
      <c r="B38" s="5" t="s">
        <v>36</v>
      </c>
      <c r="C38" s="5" t="s">
        <v>37</v>
      </c>
      <c r="D38" s="5" t="s">
        <v>38</v>
      </c>
      <c r="E38" s="13" t="s">
        <v>96</v>
      </c>
      <c r="F38" s="7">
        <v>644013</v>
      </c>
      <c r="G38" s="8">
        <v>2542.56</v>
      </c>
      <c r="H38" s="8">
        <v>3087.4</v>
      </c>
      <c r="I38" s="8">
        <v>5629.96</v>
      </c>
      <c r="J38" s="5" t="s">
        <v>97</v>
      </c>
      <c r="K38" s="5" t="s">
        <v>98</v>
      </c>
      <c r="L38" s="5" t="s">
        <v>58</v>
      </c>
      <c r="M38" s="10">
        <v>4953.8999999999996</v>
      </c>
      <c r="N38" s="5" t="s">
        <v>99</v>
      </c>
    </row>
    <row r="39" spans="1:14">
      <c r="A39" s="5" t="s">
        <v>35</v>
      </c>
      <c r="B39" s="5" t="s">
        <v>36</v>
      </c>
      <c r="C39" s="5" t="s">
        <v>37</v>
      </c>
      <c r="D39" s="5" t="s">
        <v>38</v>
      </c>
      <c r="E39" s="13" t="s">
        <v>100</v>
      </c>
      <c r="F39" s="7">
        <v>548370</v>
      </c>
      <c r="G39" s="8">
        <v>2164.96</v>
      </c>
      <c r="H39" s="8">
        <v>2628.88</v>
      </c>
      <c r="I39" s="8">
        <v>4793.8500000000004</v>
      </c>
      <c r="J39" s="5" t="s">
        <v>97</v>
      </c>
      <c r="K39" s="5" t="s">
        <v>98</v>
      </c>
      <c r="L39" s="5" t="s">
        <v>58</v>
      </c>
      <c r="M39" s="10">
        <v>4218.2</v>
      </c>
      <c r="N39" s="5" t="s">
        <v>99</v>
      </c>
    </row>
    <row r="40" spans="1:14">
      <c r="A40" s="5" t="s">
        <v>35</v>
      </c>
      <c r="B40" s="5" t="s">
        <v>36</v>
      </c>
      <c r="C40" s="5" t="s">
        <v>37</v>
      </c>
      <c r="D40" s="5" t="s">
        <v>38</v>
      </c>
      <c r="E40" s="13" t="s">
        <v>101</v>
      </c>
      <c r="F40" s="7">
        <v>666483</v>
      </c>
      <c r="G40" s="8">
        <v>2631.28</v>
      </c>
      <c r="H40" s="8">
        <v>3195.12</v>
      </c>
      <c r="I40" s="8">
        <v>5826.39</v>
      </c>
      <c r="J40" s="5" t="s">
        <v>97</v>
      </c>
      <c r="K40" s="5" t="s">
        <v>98</v>
      </c>
      <c r="L40" s="5" t="s">
        <v>58</v>
      </c>
      <c r="M40" s="10">
        <v>5126.8</v>
      </c>
      <c r="N40" s="5" t="s">
        <v>99</v>
      </c>
    </row>
    <row r="41" spans="1:14">
      <c r="A41" s="5" t="s">
        <v>35</v>
      </c>
      <c r="B41" s="5" t="s">
        <v>36</v>
      </c>
      <c r="C41" s="5" t="s">
        <v>37</v>
      </c>
      <c r="D41" s="5" t="s">
        <v>38</v>
      </c>
      <c r="E41" s="13" t="s">
        <v>102</v>
      </c>
      <c r="F41" s="7">
        <v>652435</v>
      </c>
      <c r="G41" s="8">
        <v>2575.81</v>
      </c>
      <c r="H41" s="8">
        <v>3127.77</v>
      </c>
      <c r="I41" s="8">
        <v>5703.59</v>
      </c>
      <c r="J41" s="5" t="s">
        <v>97</v>
      </c>
      <c r="K41" s="5" t="s">
        <v>98</v>
      </c>
      <c r="L41" s="5" t="s">
        <v>58</v>
      </c>
      <c r="M41" s="10">
        <v>5018.7</v>
      </c>
      <c r="N41" s="5" t="s">
        <v>99</v>
      </c>
    </row>
    <row r="42" spans="1:14">
      <c r="A42" s="5" t="s">
        <v>35</v>
      </c>
      <c r="B42" s="5" t="s">
        <v>36</v>
      </c>
      <c r="C42" s="5" t="s">
        <v>37</v>
      </c>
      <c r="D42" s="5" t="s">
        <v>38</v>
      </c>
      <c r="E42" s="13" t="s">
        <v>103</v>
      </c>
      <c r="F42" s="7">
        <v>728737</v>
      </c>
      <c r="G42" s="8">
        <v>2877.05</v>
      </c>
      <c r="H42" s="8">
        <v>3493.56</v>
      </c>
      <c r="I42" s="8">
        <v>6370.62</v>
      </c>
      <c r="J42" s="5" t="s">
        <v>104</v>
      </c>
      <c r="K42" s="5" t="s">
        <v>98</v>
      </c>
      <c r="L42" s="5" t="s">
        <v>58</v>
      </c>
      <c r="M42" s="10">
        <v>5605.7</v>
      </c>
      <c r="N42" s="5" t="s">
        <v>99</v>
      </c>
    </row>
    <row r="43" spans="1:14">
      <c r="A43" s="5" t="s">
        <v>35</v>
      </c>
      <c r="B43" s="5" t="s">
        <v>36</v>
      </c>
      <c r="C43" s="5" t="s">
        <v>37</v>
      </c>
      <c r="D43" s="5" t="s">
        <v>38</v>
      </c>
      <c r="E43" s="13" t="s">
        <v>105</v>
      </c>
      <c r="F43" s="7">
        <v>737280</v>
      </c>
      <c r="G43" s="8">
        <v>2910.78</v>
      </c>
      <c r="H43" s="8">
        <v>3534.52</v>
      </c>
      <c r="I43" s="8">
        <v>6445.3</v>
      </c>
      <c r="J43" s="5" t="s">
        <v>104</v>
      </c>
      <c r="K43" s="5" t="s">
        <v>98</v>
      </c>
      <c r="L43" s="5" t="s">
        <v>58</v>
      </c>
      <c r="M43" s="10">
        <v>5671.4</v>
      </c>
      <c r="N43" s="5" t="s">
        <v>99</v>
      </c>
    </row>
    <row r="44" spans="1:14">
      <c r="A44" s="5" t="s">
        <v>35</v>
      </c>
      <c r="B44" s="5" t="s">
        <v>36</v>
      </c>
      <c r="C44" s="5" t="s">
        <v>37</v>
      </c>
      <c r="D44" s="5" t="s">
        <v>38</v>
      </c>
      <c r="E44" s="13" t="s">
        <v>106</v>
      </c>
      <c r="F44" s="7">
        <v>818869</v>
      </c>
      <c r="G44" s="8">
        <v>3232.89</v>
      </c>
      <c r="H44" s="8">
        <v>3925.66</v>
      </c>
      <c r="I44" s="8">
        <v>7158.55</v>
      </c>
      <c r="J44" s="5" t="s">
        <v>104</v>
      </c>
      <c r="K44" s="5" t="s">
        <v>98</v>
      </c>
      <c r="L44" s="5" t="s">
        <v>58</v>
      </c>
      <c r="M44" s="10">
        <v>6299</v>
      </c>
      <c r="N44" s="5" t="s">
        <v>99</v>
      </c>
    </row>
    <row r="45" spans="1:14">
      <c r="A45" s="5" t="s">
        <v>35</v>
      </c>
      <c r="B45" s="5" t="s">
        <v>36</v>
      </c>
      <c r="C45" s="5" t="s">
        <v>37</v>
      </c>
      <c r="D45" s="5" t="s">
        <v>38</v>
      </c>
      <c r="E45" s="13" t="s">
        <v>107</v>
      </c>
      <c r="F45" s="7">
        <v>808979</v>
      </c>
      <c r="G45" s="8">
        <v>3193.85</v>
      </c>
      <c r="H45" s="8">
        <v>3878.24</v>
      </c>
      <c r="I45" s="8">
        <v>7072.09</v>
      </c>
      <c r="J45" s="5" t="s">
        <v>104</v>
      </c>
      <c r="K45" s="5" t="s">
        <v>98</v>
      </c>
      <c r="L45" s="5" t="s">
        <v>58</v>
      </c>
      <c r="M45" s="10">
        <v>6222.9</v>
      </c>
      <c r="N45" s="5" t="s">
        <v>99</v>
      </c>
    </row>
    <row r="46" spans="1:14">
      <c r="A46" s="5" t="s">
        <v>35</v>
      </c>
      <c r="B46" s="5" t="s">
        <v>36</v>
      </c>
      <c r="C46" s="5" t="s">
        <v>37</v>
      </c>
      <c r="D46" s="5" t="s">
        <v>38</v>
      </c>
      <c r="E46" s="13" t="s">
        <v>108</v>
      </c>
      <c r="F46" s="7">
        <v>694102</v>
      </c>
      <c r="G46" s="8">
        <v>2740.32</v>
      </c>
      <c r="H46" s="8">
        <v>3327.53</v>
      </c>
      <c r="I46" s="8">
        <v>6067.84</v>
      </c>
      <c r="J46" s="5" t="s">
        <v>104</v>
      </c>
      <c r="K46" s="5" t="s">
        <v>98</v>
      </c>
      <c r="L46" s="5" t="s">
        <v>58</v>
      </c>
      <c r="M46" s="10">
        <v>5339.2</v>
      </c>
      <c r="N46" s="5" t="s">
        <v>99</v>
      </c>
    </row>
    <row r="47" spans="1:14">
      <c r="A47" s="5" t="s">
        <v>35</v>
      </c>
      <c r="B47" s="5" t="s">
        <v>36</v>
      </c>
      <c r="C47" s="5" t="s">
        <v>37</v>
      </c>
      <c r="D47" s="5" t="s">
        <v>38</v>
      </c>
      <c r="E47" s="13" t="s">
        <v>109</v>
      </c>
      <c r="F47" s="7">
        <v>671438</v>
      </c>
      <c r="G47" s="8">
        <v>2650.84</v>
      </c>
      <c r="H47" s="8">
        <v>3218.87</v>
      </c>
      <c r="I47" s="8">
        <v>5869.71</v>
      </c>
      <c r="J47" s="5" t="s">
        <v>97</v>
      </c>
      <c r="K47" s="5" t="s">
        <v>98</v>
      </c>
      <c r="L47" s="5" t="s">
        <v>58</v>
      </c>
      <c r="M47" s="10">
        <v>5164.8999999999996</v>
      </c>
      <c r="N47" s="5" t="s">
        <v>99</v>
      </c>
    </row>
    <row r="48" spans="1:14">
      <c r="A48" s="5" t="s">
        <v>35</v>
      </c>
      <c r="B48" s="5" t="s">
        <v>36</v>
      </c>
      <c r="C48" s="5" t="s">
        <v>37</v>
      </c>
      <c r="D48" s="5" t="s">
        <v>38</v>
      </c>
      <c r="E48" s="13" t="s">
        <v>110</v>
      </c>
      <c r="F48" s="7">
        <v>605050</v>
      </c>
      <c r="G48" s="8">
        <v>2388.7399999999998</v>
      </c>
      <c r="H48" s="8">
        <v>2900.61</v>
      </c>
      <c r="I48" s="8">
        <v>5289.35</v>
      </c>
      <c r="J48" s="5" t="s">
        <v>97</v>
      </c>
      <c r="K48" s="5" t="s">
        <v>98</v>
      </c>
      <c r="L48" s="5" t="s">
        <v>58</v>
      </c>
      <c r="M48" s="10">
        <v>4654.2</v>
      </c>
      <c r="N48" s="5" t="s">
        <v>99</v>
      </c>
    </row>
    <row r="49" spans="1:14">
      <c r="A49" s="5" t="s">
        <v>35</v>
      </c>
      <c r="B49" s="5" t="s">
        <v>36</v>
      </c>
      <c r="C49" s="5" t="s">
        <v>37</v>
      </c>
      <c r="D49" s="5" t="s">
        <v>38</v>
      </c>
      <c r="E49" s="13" t="s">
        <v>111</v>
      </c>
      <c r="F49" s="7">
        <v>626450</v>
      </c>
      <c r="G49" s="8">
        <v>2473.23</v>
      </c>
      <c r="H49" s="8">
        <v>3003.2</v>
      </c>
      <c r="I49" s="8">
        <v>5476.43</v>
      </c>
      <c r="J49" s="5" t="s">
        <v>97</v>
      </c>
      <c r="K49" s="5" t="s">
        <v>98</v>
      </c>
      <c r="L49" s="5" t="s">
        <v>58</v>
      </c>
      <c r="M49" s="10">
        <v>4818.8</v>
      </c>
      <c r="N49" s="5" t="s">
        <v>99</v>
      </c>
    </row>
    <row r="50" spans="1:14">
      <c r="A50" s="5" t="s">
        <v>39</v>
      </c>
      <c r="B50" s="5" t="s">
        <v>40</v>
      </c>
      <c r="C50" s="5" t="s">
        <v>41</v>
      </c>
      <c r="D50" s="5" t="s">
        <v>41</v>
      </c>
      <c r="E50" s="13" t="s">
        <v>96</v>
      </c>
      <c r="F50" s="7">
        <v>400067</v>
      </c>
      <c r="G50" s="8">
        <v>1613.07</v>
      </c>
      <c r="H50" s="8">
        <v>1958.73</v>
      </c>
      <c r="I50" s="8">
        <v>3571.8</v>
      </c>
      <c r="J50" s="5" t="s">
        <v>97</v>
      </c>
      <c r="K50" s="5" t="s">
        <v>98</v>
      </c>
      <c r="L50" s="5" t="s">
        <v>58</v>
      </c>
      <c r="M50" s="10">
        <v>3810.2</v>
      </c>
      <c r="N50" s="5" t="s">
        <v>99</v>
      </c>
    </row>
    <row r="51" spans="1:14">
      <c r="A51" s="5" t="s">
        <v>39</v>
      </c>
      <c r="B51" s="5" t="s">
        <v>40</v>
      </c>
      <c r="C51" s="5" t="s">
        <v>41</v>
      </c>
      <c r="D51" s="5" t="s">
        <v>41</v>
      </c>
      <c r="E51" s="13" t="s">
        <v>100</v>
      </c>
      <c r="F51" s="7">
        <v>339149</v>
      </c>
      <c r="G51" s="8">
        <v>1367.45</v>
      </c>
      <c r="H51" s="8">
        <v>1660.47</v>
      </c>
      <c r="I51" s="8">
        <v>3027.92</v>
      </c>
      <c r="J51" s="5" t="s">
        <v>97</v>
      </c>
      <c r="K51" s="5" t="s">
        <v>98</v>
      </c>
      <c r="L51" s="5" t="s">
        <v>58</v>
      </c>
      <c r="M51" s="10">
        <v>3230</v>
      </c>
      <c r="N51" s="5" t="s">
        <v>99</v>
      </c>
    </row>
    <row r="52" spans="1:14">
      <c r="A52" s="5" t="s">
        <v>39</v>
      </c>
      <c r="B52" s="5" t="s">
        <v>40</v>
      </c>
      <c r="C52" s="5" t="s">
        <v>41</v>
      </c>
      <c r="D52" s="5" t="s">
        <v>41</v>
      </c>
      <c r="E52" s="13" t="s">
        <v>101</v>
      </c>
      <c r="F52" s="7">
        <v>405507</v>
      </c>
      <c r="G52" s="8">
        <v>1635.01</v>
      </c>
      <c r="H52" s="8">
        <v>1985.36</v>
      </c>
      <c r="I52" s="8">
        <v>3620.37</v>
      </c>
      <c r="J52" s="5" t="s">
        <v>97</v>
      </c>
      <c r="K52" s="5" t="s">
        <v>98</v>
      </c>
      <c r="L52" s="5" t="s">
        <v>58</v>
      </c>
      <c r="M52" s="10">
        <v>3862</v>
      </c>
      <c r="N52" s="5" t="s">
        <v>99</v>
      </c>
    </row>
    <row r="53" spans="1:14">
      <c r="A53" s="5" t="s">
        <v>39</v>
      </c>
      <c r="B53" s="5" t="s">
        <v>40</v>
      </c>
      <c r="C53" s="5" t="s">
        <v>41</v>
      </c>
      <c r="D53" s="5" t="s">
        <v>41</v>
      </c>
      <c r="E53" s="13" t="s">
        <v>102</v>
      </c>
      <c r="F53" s="7">
        <v>400224</v>
      </c>
      <c r="G53" s="8">
        <v>1613.7</v>
      </c>
      <c r="H53" s="8">
        <v>1959.5</v>
      </c>
      <c r="I53" s="8">
        <v>3573.2</v>
      </c>
      <c r="J53" s="5" t="s">
        <v>97</v>
      </c>
      <c r="K53" s="5" t="s">
        <v>98</v>
      </c>
      <c r="L53" s="5" t="s">
        <v>58</v>
      </c>
      <c r="M53" s="10">
        <v>3811.7</v>
      </c>
      <c r="N53" s="5" t="s">
        <v>99</v>
      </c>
    </row>
    <row r="54" spans="1:14">
      <c r="A54" s="5" t="s">
        <v>39</v>
      </c>
      <c r="B54" s="5" t="s">
        <v>40</v>
      </c>
      <c r="C54" s="5" t="s">
        <v>41</v>
      </c>
      <c r="D54" s="5" t="s">
        <v>41</v>
      </c>
      <c r="E54" s="13" t="s">
        <v>103</v>
      </c>
      <c r="F54" s="7">
        <v>444925</v>
      </c>
      <c r="G54" s="8">
        <v>1793.94</v>
      </c>
      <c r="H54" s="8">
        <v>2178.35</v>
      </c>
      <c r="I54" s="8">
        <v>3972.29</v>
      </c>
      <c r="J54" s="5" t="s">
        <v>104</v>
      </c>
      <c r="K54" s="5" t="s">
        <v>98</v>
      </c>
      <c r="L54" s="5" t="s">
        <v>58</v>
      </c>
      <c r="M54" s="10">
        <v>4237.3999999999996</v>
      </c>
      <c r="N54" s="5" t="s">
        <v>99</v>
      </c>
    </row>
    <row r="55" spans="1:14">
      <c r="A55" s="5" t="s">
        <v>39</v>
      </c>
      <c r="B55" s="5" t="s">
        <v>40</v>
      </c>
      <c r="C55" s="5" t="s">
        <v>41</v>
      </c>
      <c r="D55" s="5" t="s">
        <v>41</v>
      </c>
      <c r="E55" s="13" t="s">
        <v>105</v>
      </c>
      <c r="F55" s="7">
        <v>494052</v>
      </c>
      <c r="G55" s="8">
        <v>1992.02</v>
      </c>
      <c r="H55" s="8">
        <v>2418.88</v>
      </c>
      <c r="I55" s="8">
        <v>4410.8999999999996</v>
      </c>
      <c r="J55" s="5" t="s">
        <v>104</v>
      </c>
      <c r="K55" s="5" t="s">
        <v>98</v>
      </c>
      <c r="L55" s="5" t="s">
        <v>58</v>
      </c>
      <c r="M55" s="10">
        <v>4705.3</v>
      </c>
      <c r="N55" s="5" t="s">
        <v>99</v>
      </c>
    </row>
    <row r="56" spans="1:14">
      <c r="A56" s="5" t="s">
        <v>39</v>
      </c>
      <c r="B56" s="5" t="s">
        <v>40</v>
      </c>
      <c r="C56" s="5" t="s">
        <v>41</v>
      </c>
      <c r="D56" s="5" t="s">
        <v>41</v>
      </c>
      <c r="E56" s="13" t="s">
        <v>106</v>
      </c>
      <c r="F56" s="7">
        <v>530978</v>
      </c>
      <c r="G56" s="8">
        <v>2140.91</v>
      </c>
      <c r="H56" s="8">
        <v>2599.67</v>
      </c>
      <c r="I56" s="8">
        <v>4740.58</v>
      </c>
      <c r="J56" s="5" t="s">
        <v>104</v>
      </c>
      <c r="K56" s="5" t="s">
        <v>98</v>
      </c>
      <c r="L56" s="5" t="s">
        <v>58</v>
      </c>
      <c r="M56" s="10">
        <v>5056.8999999999996</v>
      </c>
      <c r="N56" s="5" t="s">
        <v>99</v>
      </c>
    </row>
    <row r="57" spans="1:14">
      <c r="A57" s="5" t="s">
        <v>39</v>
      </c>
      <c r="B57" s="5" t="s">
        <v>40</v>
      </c>
      <c r="C57" s="5" t="s">
        <v>41</v>
      </c>
      <c r="D57" s="5" t="s">
        <v>41</v>
      </c>
      <c r="E57" s="13" t="s">
        <v>107</v>
      </c>
      <c r="F57" s="7">
        <v>520866</v>
      </c>
      <c r="G57" s="8">
        <v>2100.13</v>
      </c>
      <c r="H57" s="8">
        <v>2550.16</v>
      </c>
      <c r="I57" s="8">
        <v>4650.29</v>
      </c>
      <c r="J57" s="5" t="s">
        <v>104</v>
      </c>
      <c r="K57" s="5" t="s">
        <v>98</v>
      </c>
      <c r="L57" s="5" t="s">
        <v>58</v>
      </c>
      <c r="M57" s="10">
        <v>4960.6000000000004</v>
      </c>
      <c r="N57" s="5" t="s">
        <v>99</v>
      </c>
    </row>
    <row r="58" spans="1:14">
      <c r="A58" s="5" t="s">
        <v>39</v>
      </c>
      <c r="B58" s="5" t="s">
        <v>40</v>
      </c>
      <c r="C58" s="5" t="s">
        <v>41</v>
      </c>
      <c r="D58" s="5" t="s">
        <v>41</v>
      </c>
      <c r="E58" s="13" t="s">
        <v>108</v>
      </c>
      <c r="F58" s="7">
        <v>439854</v>
      </c>
      <c r="G58" s="8">
        <v>1773.49</v>
      </c>
      <c r="H58" s="8">
        <v>2153.5300000000002</v>
      </c>
      <c r="I58" s="8">
        <v>3927.02</v>
      </c>
      <c r="J58" s="5" t="s">
        <v>104</v>
      </c>
      <c r="K58" s="5" t="s">
        <v>98</v>
      </c>
      <c r="L58" s="5" t="s">
        <v>58</v>
      </c>
      <c r="M58" s="10">
        <v>4189.1000000000004</v>
      </c>
      <c r="N58" s="5" t="s">
        <v>99</v>
      </c>
    </row>
    <row r="59" spans="1:14">
      <c r="A59" s="5" t="s">
        <v>39</v>
      </c>
      <c r="B59" s="5" t="s">
        <v>40</v>
      </c>
      <c r="C59" s="5" t="s">
        <v>41</v>
      </c>
      <c r="D59" s="5" t="s">
        <v>41</v>
      </c>
      <c r="E59" s="13" t="s">
        <v>109</v>
      </c>
      <c r="F59" s="7">
        <v>437673</v>
      </c>
      <c r="G59" s="8">
        <v>1764.7</v>
      </c>
      <c r="H59" s="8">
        <v>2142.85</v>
      </c>
      <c r="I59" s="8">
        <v>3907.55</v>
      </c>
      <c r="J59" s="5" t="s">
        <v>97</v>
      </c>
      <c r="K59" s="5" t="s">
        <v>98</v>
      </c>
      <c r="L59" s="5" t="s">
        <v>58</v>
      </c>
      <c r="M59" s="10">
        <v>4168.3</v>
      </c>
      <c r="N59" s="5" t="s">
        <v>99</v>
      </c>
    </row>
    <row r="60" spans="1:14">
      <c r="A60" s="5" t="s">
        <v>39</v>
      </c>
      <c r="B60" s="5" t="s">
        <v>40</v>
      </c>
      <c r="C60" s="5" t="s">
        <v>41</v>
      </c>
      <c r="D60" s="5" t="s">
        <v>41</v>
      </c>
      <c r="E60" s="13" t="s">
        <v>110</v>
      </c>
      <c r="F60" s="7">
        <v>382624</v>
      </c>
      <c r="G60" s="8">
        <v>1542.74</v>
      </c>
      <c r="H60" s="8">
        <v>1873.33</v>
      </c>
      <c r="I60" s="8">
        <v>3416.07</v>
      </c>
      <c r="J60" s="5" t="s">
        <v>97</v>
      </c>
      <c r="K60" s="5" t="s">
        <v>98</v>
      </c>
      <c r="L60" s="5" t="s">
        <v>58</v>
      </c>
      <c r="M60" s="10">
        <v>3644</v>
      </c>
      <c r="N60" s="5" t="s">
        <v>99</v>
      </c>
    </row>
    <row r="61" spans="1:14">
      <c r="A61" s="5" t="s">
        <v>39</v>
      </c>
      <c r="B61" s="5" t="s">
        <v>40</v>
      </c>
      <c r="C61" s="5" t="s">
        <v>41</v>
      </c>
      <c r="D61" s="5" t="s">
        <v>41</v>
      </c>
      <c r="E61" s="13" t="s">
        <v>111</v>
      </c>
      <c r="F61" s="7">
        <v>397231</v>
      </c>
      <c r="G61" s="8">
        <v>1601.63</v>
      </c>
      <c r="H61" s="8">
        <v>1944.84</v>
      </c>
      <c r="I61" s="8">
        <v>3546.47</v>
      </c>
      <c r="J61" s="5" t="s">
        <v>97</v>
      </c>
      <c r="K61" s="5" t="s">
        <v>98</v>
      </c>
      <c r="L61" s="5" t="s">
        <v>58</v>
      </c>
      <c r="M61" s="10">
        <v>3783.1</v>
      </c>
      <c r="N61" s="5" t="s">
        <v>99</v>
      </c>
    </row>
    <row r="62" spans="1:14">
      <c r="A62" s="5" t="s">
        <v>42</v>
      </c>
      <c r="B62" s="5" t="s">
        <v>43</v>
      </c>
      <c r="C62" s="5" t="s">
        <v>44</v>
      </c>
      <c r="D62" s="5" t="s">
        <v>44</v>
      </c>
      <c r="E62" s="13" t="s">
        <v>96</v>
      </c>
      <c r="F62" s="7">
        <v>1138094</v>
      </c>
      <c r="G62" s="8">
        <v>5162.3900000000003</v>
      </c>
      <c r="H62" s="8">
        <v>6268.62</v>
      </c>
      <c r="I62" s="8">
        <v>11431.01</v>
      </c>
      <c r="J62" s="5" t="s">
        <v>97</v>
      </c>
      <c r="K62" s="5" t="s">
        <v>98</v>
      </c>
      <c r="L62" s="5" t="s">
        <v>58</v>
      </c>
      <c r="M62" s="10">
        <v>5419.5</v>
      </c>
      <c r="N62" s="5" t="s">
        <v>99</v>
      </c>
    </row>
    <row r="63" spans="1:14">
      <c r="A63" s="5" t="s">
        <v>42</v>
      </c>
      <c r="B63" s="5" t="s">
        <v>43</v>
      </c>
      <c r="C63" s="5" t="s">
        <v>44</v>
      </c>
      <c r="D63" s="5" t="s">
        <v>44</v>
      </c>
      <c r="E63" s="13" t="s">
        <v>100</v>
      </c>
      <c r="F63" s="7">
        <v>940802</v>
      </c>
      <c r="G63" s="8">
        <v>4267.4799999999996</v>
      </c>
      <c r="H63" s="8">
        <v>5181.9399999999996</v>
      </c>
      <c r="I63" s="8">
        <v>9449.41</v>
      </c>
      <c r="J63" s="5" t="s">
        <v>97</v>
      </c>
      <c r="K63" s="5" t="s">
        <v>98</v>
      </c>
      <c r="L63" s="5" t="s">
        <v>112</v>
      </c>
      <c r="M63" s="10">
        <v>4480</v>
      </c>
      <c r="N63" s="5" t="s">
        <v>99</v>
      </c>
    </row>
    <row r="64" spans="1:14">
      <c r="A64" s="5" t="s">
        <v>42</v>
      </c>
      <c r="B64" s="5" t="s">
        <v>43</v>
      </c>
      <c r="C64" s="5" t="s">
        <v>44</v>
      </c>
      <c r="D64" s="5" t="s">
        <v>44</v>
      </c>
      <c r="E64" s="13" t="s">
        <v>101</v>
      </c>
      <c r="F64" s="7">
        <v>1117983</v>
      </c>
      <c r="G64" s="8">
        <v>5071.17</v>
      </c>
      <c r="H64" s="8">
        <v>6157.85</v>
      </c>
      <c r="I64" s="8">
        <v>11229.02</v>
      </c>
      <c r="J64" s="5" t="s">
        <v>97</v>
      </c>
      <c r="K64" s="5" t="s">
        <v>98</v>
      </c>
      <c r="L64" s="5" t="s">
        <v>112</v>
      </c>
      <c r="M64" s="10">
        <v>5323.7</v>
      </c>
      <c r="N64" s="5" t="s">
        <v>99</v>
      </c>
    </row>
    <row r="65" spans="1:14">
      <c r="A65" s="5" t="s">
        <v>42</v>
      </c>
      <c r="B65" s="5" t="s">
        <v>43</v>
      </c>
      <c r="C65" s="5" t="s">
        <v>44</v>
      </c>
      <c r="D65" s="5" t="s">
        <v>44</v>
      </c>
      <c r="E65" s="13" t="s">
        <v>102</v>
      </c>
      <c r="F65" s="7">
        <v>1148999</v>
      </c>
      <c r="G65" s="8">
        <v>5211.8599999999997</v>
      </c>
      <c r="H65" s="8">
        <v>6328.69</v>
      </c>
      <c r="I65" s="8">
        <v>11540.55</v>
      </c>
      <c r="J65" s="5" t="s">
        <v>97</v>
      </c>
      <c r="K65" s="5" t="s">
        <v>98</v>
      </c>
      <c r="L65" s="5" t="s">
        <v>58</v>
      </c>
      <c r="M65" s="10">
        <v>5471.4</v>
      </c>
      <c r="N65" s="5" t="s">
        <v>99</v>
      </c>
    </row>
    <row r="66" spans="1:14">
      <c r="A66" s="5" t="s">
        <v>42</v>
      </c>
      <c r="B66" s="5" t="s">
        <v>43</v>
      </c>
      <c r="C66" s="5" t="s">
        <v>44</v>
      </c>
      <c r="D66" s="5" t="s">
        <v>44</v>
      </c>
      <c r="E66" s="13" t="s">
        <v>103</v>
      </c>
      <c r="F66" s="7">
        <v>1286017</v>
      </c>
      <c r="G66" s="8">
        <v>5833.37</v>
      </c>
      <c r="H66" s="8">
        <v>7083.38</v>
      </c>
      <c r="I66" s="8">
        <v>12916.76</v>
      </c>
      <c r="J66" s="5" t="s">
        <v>104</v>
      </c>
      <c r="K66" s="5" t="s">
        <v>98</v>
      </c>
      <c r="L66" s="5" t="s">
        <v>58</v>
      </c>
      <c r="M66" s="10">
        <v>6123.9</v>
      </c>
      <c r="N66" s="5" t="s">
        <v>99</v>
      </c>
    </row>
    <row r="67" spans="1:14">
      <c r="A67" s="5" t="s">
        <v>42</v>
      </c>
      <c r="B67" s="5" t="s">
        <v>43</v>
      </c>
      <c r="C67" s="5" t="s">
        <v>44</v>
      </c>
      <c r="D67" s="5" t="s">
        <v>44</v>
      </c>
      <c r="E67" s="13" t="s">
        <v>105</v>
      </c>
      <c r="F67" s="7">
        <v>1417888</v>
      </c>
      <c r="G67" s="8">
        <v>6431.54</v>
      </c>
      <c r="H67" s="8">
        <v>7809.73</v>
      </c>
      <c r="I67" s="8">
        <v>14241.27</v>
      </c>
      <c r="J67" s="5" t="s">
        <v>104</v>
      </c>
      <c r="K67" s="5" t="s">
        <v>98</v>
      </c>
      <c r="L67" s="5" t="s">
        <v>58</v>
      </c>
      <c r="M67" s="10">
        <v>6751.8</v>
      </c>
      <c r="N67" s="5" t="s">
        <v>99</v>
      </c>
    </row>
    <row r="68" spans="1:14">
      <c r="A68" s="5" t="s">
        <v>42</v>
      </c>
      <c r="B68" s="5" t="s">
        <v>43</v>
      </c>
      <c r="C68" s="5" t="s">
        <v>44</v>
      </c>
      <c r="D68" s="5" t="s">
        <v>44</v>
      </c>
      <c r="E68" s="13" t="s">
        <v>106</v>
      </c>
      <c r="F68" s="7">
        <v>1495952</v>
      </c>
      <c r="G68" s="8">
        <v>6785.64</v>
      </c>
      <c r="H68" s="8">
        <v>8239.7000000000007</v>
      </c>
      <c r="I68" s="8">
        <v>15025.34</v>
      </c>
      <c r="J68" s="5" t="s">
        <v>104</v>
      </c>
      <c r="K68" s="5" t="s">
        <v>98</v>
      </c>
      <c r="L68" s="5" t="s">
        <v>58</v>
      </c>
      <c r="M68" s="10">
        <v>7123.6</v>
      </c>
      <c r="N68" s="5" t="s">
        <v>99</v>
      </c>
    </row>
    <row r="69" spans="1:14">
      <c r="A69" s="5" t="s">
        <v>42</v>
      </c>
      <c r="B69" s="5" t="s">
        <v>43</v>
      </c>
      <c r="C69" s="5" t="s">
        <v>44</v>
      </c>
      <c r="D69" s="5" t="s">
        <v>44</v>
      </c>
      <c r="E69" s="13" t="s">
        <v>107</v>
      </c>
      <c r="F69" s="7">
        <v>1450750</v>
      </c>
      <c r="G69" s="8">
        <v>6580.6</v>
      </c>
      <c r="H69" s="8">
        <v>7990.73</v>
      </c>
      <c r="I69" s="8">
        <v>14571.33</v>
      </c>
      <c r="J69" s="5" t="s">
        <v>104</v>
      </c>
      <c r="K69" s="5" t="s">
        <v>98</v>
      </c>
      <c r="L69" s="5" t="s">
        <v>58</v>
      </c>
      <c r="M69" s="10">
        <v>6908.3</v>
      </c>
      <c r="N69" s="5" t="s">
        <v>99</v>
      </c>
    </row>
    <row r="70" spans="1:14">
      <c r="A70" s="5" t="s">
        <v>42</v>
      </c>
      <c r="B70" s="5" t="s">
        <v>43</v>
      </c>
      <c r="C70" s="5" t="s">
        <v>44</v>
      </c>
      <c r="D70" s="5" t="s">
        <v>44</v>
      </c>
      <c r="E70" s="13" t="s">
        <v>108</v>
      </c>
      <c r="F70" s="7">
        <v>1233940</v>
      </c>
      <c r="G70" s="8">
        <v>5597.15</v>
      </c>
      <c r="H70" s="8">
        <v>6796.54</v>
      </c>
      <c r="I70" s="8">
        <v>12393.69</v>
      </c>
      <c r="J70" s="5" t="s">
        <v>104</v>
      </c>
      <c r="K70" s="5" t="s">
        <v>98</v>
      </c>
      <c r="L70" s="5" t="s">
        <v>58</v>
      </c>
      <c r="M70" s="10">
        <v>5875.9</v>
      </c>
      <c r="N70" s="5" t="s">
        <v>99</v>
      </c>
    </row>
    <row r="71" spans="1:14">
      <c r="A71" s="5" t="s">
        <v>42</v>
      </c>
      <c r="B71" s="5" t="s">
        <v>43</v>
      </c>
      <c r="C71" s="5" t="s">
        <v>44</v>
      </c>
      <c r="D71" s="5" t="s">
        <v>44</v>
      </c>
      <c r="E71" s="13" t="s">
        <v>109</v>
      </c>
      <c r="F71" s="7">
        <v>1176627</v>
      </c>
      <c r="G71" s="8">
        <v>5337.18</v>
      </c>
      <c r="H71" s="8">
        <v>6480.86</v>
      </c>
      <c r="I71" s="8">
        <v>11818.04</v>
      </c>
      <c r="J71" s="5" t="s">
        <v>97</v>
      </c>
      <c r="K71" s="5" t="s">
        <v>98</v>
      </c>
      <c r="L71" s="5" t="s">
        <v>58</v>
      </c>
      <c r="M71" s="10">
        <v>5603</v>
      </c>
      <c r="N71" s="5" t="s">
        <v>99</v>
      </c>
    </row>
    <row r="72" spans="1:14">
      <c r="A72" s="5" t="s">
        <v>42</v>
      </c>
      <c r="B72" s="5" t="s">
        <v>43</v>
      </c>
      <c r="C72" s="5" t="s">
        <v>44</v>
      </c>
      <c r="D72" s="5" t="s">
        <v>44</v>
      </c>
      <c r="E72" s="13" t="s">
        <v>110</v>
      </c>
      <c r="F72" s="7">
        <v>1066028</v>
      </c>
      <c r="G72" s="8">
        <v>4835.5</v>
      </c>
      <c r="H72" s="8">
        <v>5871.68</v>
      </c>
      <c r="I72" s="8">
        <v>10707.19</v>
      </c>
      <c r="J72" s="5" t="s">
        <v>97</v>
      </c>
      <c r="K72" s="5" t="s">
        <v>98</v>
      </c>
      <c r="L72" s="5" t="s">
        <v>58</v>
      </c>
      <c r="M72" s="10">
        <v>5076.3</v>
      </c>
      <c r="N72" s="5" t="s">
        <v>99</v>
      </c>
    </row>
    <row r="73" spans="1:14">
      <c r="A73" s="5" t="s">
        <v>42</v>
      </c>
      <c r="B73" s="5" t="s">
        <v>43</v>
      </c>
      <c r="C73" s="5" t="s">
        <v>44</v>
      </c>
      <c r="D73" s="5" t="s">
        <v>44</v>
      </c>
      <c r="E73" s="13" t="s">
        <v>111</v>
      </c>
      <c r="F73" s="7">
        <v>1146835</v>
      </c>
      <c r="G73" s="8">
        <v>5202.04</v>
      </c>
      <c r="H73" s="8">
        <v>6316.77</v>
      </c>
      <c r="I73" s="8">
        <v>11518.81</v>
      </c>
      <c r="J73" s="5" t="s">
        <v>97</v>
      </c>
      <c r="K73" s="5" t="s">
        <v>98</v>
      </c>
      <c r="L73" s="5" t="s">
        <v>58</v>
      </c>
      <c r="M73" s="10">
        <v>5461.1</v>
      </c>
      <c r="N73" s="5" t="s">
        <v>99</v>
      </c>
    </row>
    <row r="74" spans="1:14">
      <c r="A74" s="5" t="s">
        <v>45</v>
      </c>
      <c r="B74" s="5" t="s">
        <v>46</v>
      </c>
      <c r="C74" s="5" t="s">
        <v>47</v>
      </c>
      <c r="D74" s="5" t="s">
        <v>48</v>
      </c>
      <c r="E74" s="13" t="s">
        <v>96</v>
      </c>
      <c r="F74" s="7">
        <v>592304</v>
      </c>
      <c r="G74" s="8">
        <v>2413.0500000000002</v>
      </c>
      <c r="H74" s="8">
        <v>2930.13</v>
      </c>
      <c r="I74" s="8">
        <v>5343.17</v>
      </c>
      <c r="J74" s="5" t="s">
        <v>97</v>
      </c>
      <c r="K74" s="5" t="s">
        <v>98</v>
      </c>
      <c r="L74" s="5" t="s">
        <v>58</v>
      </c>
      <c r="M74" s="10">
        <v>3948.7</v>
      </c>
      <c r="N74" s="5" t="s">
        <v>99</v>
      </c>
    </row>
    <row r="75" spans="1:14">
      <c r="A75" s="5" t="s">
        <v>45</v>
      </c>
      <c r="B75" s="5" t="s">
        <v>46</v>
      </c>
      <c r="C75" s="5" t="s">
        <v>47</v>
      </c>
      <c r="D75" s="5" t="s">
        <v>48</v>
      </c>
      <c r="E75" s="13" t="s">
        <v>100</v>
      </c>
      <c r="F75" s="7">
        <v>492120</v>
      </c>
      <c r="G75" s="8">
        <v>2004.9</v>
      </c>
      <c r="H75" s="8">
        <v>2434.52</v>
      </c>
      <c r="I75" s="8">
        <v>4439.42</v>
      </c>
      <c r="J75" s="5" t="s">
        <v>97</v>
      </c>
      <c r="K75" s="5" t="s">
        <v>98</v>
      </c>
      <c r="L75" s="5" t="s">
        <v>58</v>
      </c>
      <c r="M75" s="10">
        <v>3280.8</v>
      </c>
      <c r="N75" s="5" t="s">
        <v>99</v>
      </c>
    </row>
    <row r="76" spans="1:14">
      <c r="A76" s="5" t="s">
        <v>45</v>
      </c>
      <c r="B76" s="5" t="s">
        <v>46</v>
      </c>
      <c r="C76" s="5" t="s">
        <v>47</v>
      </c>
      <c r="D76" s="5" t="s">
        <v>48</v>
      </c>
      <c r="E76" s="13" t="s">
        <v>101</v>
      </c>
      <c r="F76" s="7">
        <v>602402</v>
      </c>
      <c r="G76" s="8">
        <v>2454.19</v>
      </c>
      <c r="H76" s="8">
        <v>2980.08</v>
      </c>
      <c r="I76" s="8">
        <v>5434.27</v>
      </c>
      <c r="J76" s="5" t="s">
        <v>97</v>
      </c>
      <c r="K76" s="5" t="s">
        <v>98</v>
      </c>
      <c r="L76" s="5" t="s">
        <v>58</v>
      </c>
      <c r="M76" s="10">
        <v>4016</v>
      </c>
      <c r="N76" s="5" t="s">
        <v>99</v>
      </c>
    </row>
    <row r="77" spans="1:14">
      <c r="A77" s="5" t="s">
        <v>45</v>
      </c>
      <c r="B77" s="5" t="s">
        <v>46</v>
      </c>
      <c r="C77" s="5" t="s">
        <v>47</v>
      </c>
      <c r="D77" s="5" t="s">
        <v>48</v>
      </c>
      <c r="E77" s="13" t="s">
        <v>102</v>
      </c>
      <c r="F77" s="7">
        <v>590560</v>
      </c>
      <c r="G77" s="8">
        <v>2405.94</v>
      </c>
      <c r="H77" s="8">
        <v>2921.5</v>
      </c>
      <c r="I77" s="8">
        <v>5327.45</v>
      </c>
      <c r="J77" s="5" t="s">
        <v>97</v>
      </c>
      <c r="K77" s="5" t="s">
        <v>98</v>
      </c>
      <c r="L77" s="5" t="s">
        <v>58</v>
      </c>
      <c r="M77" s="10">
        <v>3937.1</v>
      </c>
      <c r="N77" s="5" t="s">
        <v>99</v>
      </c>
    </row>
    <row r="78" spans="1:14">
      <c r="A78" s="5" t="s">
        <v>45</v>
      </c>
      <c r="B78" s="5" t="s">
        <v>46</v>
      </c>
      <c r="C78" s="5" t="s">
        <v>47</v>
      </c>
      <c r="D78" s="5" t="s">
        <v>48</v>
      </c>
      <c r="E78" s="13" t="s">
        <v>103</v>
      </c>
      <c r="F78" s="7">
        <v>677759</v>
      </c>
      <c r="G78" s="8">
        <v>2761.19</v>
      </c>
      <c r="H78" s="8">
        <v>3352.88</v>
      </c>
      <c r="I78" s="8">
        <v>6114.07</v>
      </c>
      <c r="J78" s="5" t="s">
        <v>104</v>
      </c>
      <c r="K78" s="5" t="s">
        <v>98</v>
      </c>
      <c r="L78" s="5" t="s">
        <v>58</v>
      </c>
      <c r="M78" s="10">
        <v>4518.3999999999996</v>
      </c>
      <c r="N78" s="5" t="s">
        <v>99</v>
      </c>
    </row>
    <row r="79" spans="1:14">
      <c r="A79" s="5" t="s">
        <v>45</v>
      </c>
      <c r="B79" s="5" t="s">
        <v>46</v>
      </c>
      <c r="C79" s="5" t="s">
        <v>47</v>
      </c>
      <c r="D79" s="5" t="s">
        <v>48</v>
      </c>
      <c r="E79" s="13" t="s">
        <v>105</v>
      </c>
      <c r="F79" s="7">
        <v>727418</v>
      </c>
      <c r="G79" s="8">
        <v>2963.5</v>
      </c>
      <c r="H79" s="8">
        <v>3598.54</v>
      </c>
      <c r="I79" s="8">
        <v>6562.04</v>
      </c>
      <c r="J79" s="5" t="s">
        <v>104</v>
      </c>
      <c r="K79" s="5" t="s">
        <v>98</v>
      </c>
      <c r="L79" s="5" t="s">
        <v>58</v>
      </c>
      <c r="M79" s="10">
        <v>4849.5</v>
      </c>
      <c r="N79" s="5" t="s">
        <v>99</v>
      </c>
    </row>
    <row r="80" spans="1:14">
      <c r="A80" s="5" t="s">
        <v>45</v>
      </c>
      <c r="B80" s="5" t="s">
        <v>46</v>
      </c>
      <c r="C80" s="5" t="s">
        <v>47</v>
      </c>
      <c r="D80" s="5" t="s">
        <v>48</v>
      </c>
      <c r="E80" s="13" t="s">
        <v>106</v>
      </c>
      <c r="F80" s="7">
        <v>786560</v>
      </c>
      <c r="G80" s="8">
        <v>3204.45</v>
      </c>
      <c r="H80" s="8">
        <v>3891.11</v>
      </c>
      <c r="I80" s="8">
        <v>7095.56</v>
      </c>
      <c r="J80" s="5" t="s">
        <v>104</v>
      </c>
      <c r="K80" s="5" t="s">
        <v>98</v>
      </c>
      <c r="L80" s="5" t="s">
        <v>58</v>
      </c>
      <c r="M80" s="10">
        <v>5243.7</v>
      </c>
      <c r="N80" s="5" t="s">
        <v>99</v>
      </c>
    </row>
    <row r="81" spans="1:14">
      <c r="A81" s="5" t="s">
        <v>45</v>
      </c>
      <c r="B81" s="5" t="s">
        <v>46</v>
      </c>
      <c r="C81" s="5" t="s">
        <v>47</v>
      </c>
      <c r="D81" s="5" t="s">
        <v>48</v>
      </c>
      <c r="E81" s="13" t="s">
        <v>107</v>
      </c>
      <c r="F81" s="7">
        <v>772661</v>
      </c>
      <c r="G81" s="8">
        <v>3147.82</v>
      </c>
      <c r="H81" s="8">
        <v>3822.35</v>
      </c>
      <c r="I81" s="8">
        <v>6970.17</v>
      </c>
      <c r="J81" s="5" t="s">
        <v>104</v>
      </c>
      <c r="K81" s="5" t="s">
        <v>98</v>
      </c>
      <c r="L81" s="5" t="s">
        <v>58</v>
      </c>
      <c r="M81" s="10">
        <v>5151.1000000000004</v>
      </c>
      <c r="N81" s="5" t="s">
        <v>99</v>
      </c>
    </row>
    <row r="82" spans="1:14">
      <c r="A82" s="5" t="s">
        <v>45</v>
      </c>
      <c r="B82" s="5" t="s">
        <v>46</v>
      </c>
      <c r="C82" s="5" t="s">
        <v>47</v>
      </c>
      <c r="D82" s="5" t="s">
        <v>48</v>
      </c>
      <c r="E82" s="13" t="s">
        <v>108</v>
      </c>
      <c r="F82" s="7">
        <v>658428</v>
      </c>
      <c r="G82" s="8">
        <v>2682.43</v>
      </c>
      <c r="H82" s="8">
        <v>3257.24</v>
      </c>
      <c r="I82" s="8">
        <v>5939.68</v>
      </c>
      <c r="J82" s="5" t="s">
        <v>104</v>
      </c>
      <c r="K82" s="5" t="s">
        <v>98</v>
      </c>
      <c r="L82" s="5" t="s">
        <v>58</v>
      </c>
      <c r="M82" s="10">
        <v>4389.5</v>
      </c>
      <c r="N82" s="5" t="s">
        <v>99</v>
      </c>
    </row>
    <row r="83" spans="1:14">
      <c r="A83" s="5" t="s">
        <v>45</v>
      </c>
      <c r="B83" s="5" t="s">
        <v>46</v>
      </c>
      <c r="C83" s="5" t="s">
        <v>47</v>
      </c>
      <c r="D83" s="5" t="s">
        <v>48</v>
      </c>
      <c r="E83" s="13" t="s">
        <v>109</v>
      </c>
      <c r="F83" s="7">
        <v>616865</v>
      </c>
      <c r="G83" s="8">
        <v>2513.11</v>
      </c>
      <c r="H83" s="8">
        <v>3051.63</v>
      </c>
      <c r="I83" s="8">
        <v>5564.74</v>
      </c>
      <c r="J83" s="5" t="s">
        <v>97</v>
      </c>
      <c r="K83" s="5" t="s">
        <v>98</v>
      </c>
      <c r="L83" s="5" t="s">
        <v>58</v>
      </c>
      <c r="M83" s="10">
        <v>4112.3999999999996</v>
      </c>
      <c r="N83" s="5" t="s">
        <v>99</v>
      </c>
    </row>
    <row r="84" spans="1:14">
      <c r="A84" s="5" t="s">
        <v>45</v>
      </c>
      <c r="B84" s="5" t="s">
        <v>46</v>
      </c>
      <c r="C84" s="5" t="s">
        <v>47</v>
      </c>
      <c r="D84" s="5" t="s">
        <v>48</v>
      </c>
      <c r="E84" s="13" t="s">
        <v>110</v>
      </c>
      <c r="F84" s="7">
        <v>574003</v>
      </c>
      <c r="G84" s="8">
        <v>2338.4899999999998</v>
      </c>
      <c r="H84" s="8">
        <v>2839.59</v>
      </c>
      <c r="I84" s="8">
        <v>5178.08</v>
      </c>
      <c r="J84" s="5" t="s">
        <v>97</v>
      </c>
      <c r="K84" s="5" t="s">
        <v>98</v>
      </c>
      <c r="L84" s="5" t="s">
        <v>58</v>
      </c>
      <c r="M84" s="10">
        <v>3826.7</v>
      </c>
      <c r="N84" s="5" t="s">
        <v>99</v>
      </c>
    </row>
    <row r="85" spans="1:14">
      <c r="A85" s="5" t="s">
        <v>45</v>
      </c>
      <c r="B85" s="5" t="s">
        <v>46</v>
      </c>
      <c r="C85" s="5" t="s">
        <v>47</v>
      </c>
      <c r="D85" s="5" t="s">
        <v>48</v>
      </c>
      <c r="E85" s="13" t="s">
        <v>111</v>
      </c>
      <c r="F85" s="7">
        <v>599618</v>
      </c>
      <c r="G85" s="8">
        <v>2442.84</v>
      </c>
      <c r="H85" s="8">
        <v>2966.31</v>
      </c>
      <c r="I85" s="8">
        <v>5409.16</v>
      </c>
      <c r="J85" s="5" t="s">
        <v>97</v>
      </c>
      <c r="K85" s="5" t="s">
        <v>98</v>
      </c>
      <c r="L85" s="5" t="s">
        <v>58</v>
      </c>
      <c r="M85" s="10">
        <v>3997.5</v>
      </c>
      <c r="N85" s="5" t="s">
        <v>99</v>
      </c>
    </row>
    <row r="86" spans="1:14">
      <c r="A86" s="5" t="s">
        <v>49</v>
      </c>
      <c r="B86" s="5" t="s">
        <v>50</v>
      </c>
      <c r="C86" s="5" t="s">
        <v>51</v>
      </c>
      <c r="D86" s="5" t="s">
        <v>51</v>
      </c>
      <c r="E86" s="13" t="s">
        <v>96</v>
      </c>
      <c r="F86" s="7">
        <v>525236</v>
      </c>
      <c r="G86" s="8">
        <v>2095.69</v>
      </c>
      <c r="H86" s="8">
        <v>2544.77</v>
      </c>
      <c r="I86" s="8">
        <v>4640.46</v>
      </c>
      <c r="J86" s="5" t="s">
        <v>97</v>
      </c>
      <c r="K86" s="5" t="s">
        <v>98</v>
      </c>
      <c r="L86" s="5" t="s">
        <v>58</v>
      </c>
      <c r="M86" s="10">
        <v>4377</v>
      </c>
      <c r="N86" s="5" t="s">
        <v>99</v>
      </c>
    </row>
    <row r="87" spans="1:14">
      <c r="A87" s="5" t="s">
        <v>49</v>
      </c>
      <c r="B87" s="5" t="s">
        <v>50</v>
      </c>
      <c r="C87" s="5" t="s">
        <v>51</v>
      </c>
      <c r="D87" s="5" t="s">
        <v>51</v>
      </c>
      <c r="E87" s="13" t="s">
        <v>100</v>
      </c>
      <c r="F87" s="7">
        <v>448020</v>
      </c>
      <c r="G87" s="8">
        <v>1787.6</v>
      </c>
      <c r="H87" s="8">
        <v>2170.66</v>
      </c>
      <c r="I87" s="8">
        <v>3958.25</v>
      </c>
      <c r="J87" s="5" t="s">
        <v>97</v>
      </c>
      <c r="K87" s="5" t="s">
        <v>98</v>
      </c>
      <c r="L87" s="5" t="s">
        <v>58</v>
      </c>
      <c r="M87" s="10">
        <v>3733.5</v>
      </c>
      <c r="N87" s="5" t="s">
        <v>99</v>
      </c>
    </row>
    <row r="88" spans="1:14">
      <c r="A88" s="5" t="s">
        <v>49</v>
      </c>
      <c r="B88" s="5" t="s">
        <v>50</v>
      </c>
      <c r="C88" s="5" t="s">
        <v>51</v>
      </c>
      <c r="D88" s="5" t="s">
        <v>51</v>
      </c>
      <c r="E88" s="13" t="s">
        <v>101</v>
      </c>
      <c r="F88" s="7">
        <v>565233</v>
      </c>
      <c r="G88" s="8">
        <v>2255.2800000000002</v>
      </c>
      <c r="H88" s="8">
        <v>2738.55</v>
      </c>
      <c r="I88" s="8">
        <v>4993.83</v>
      </c>
      <c r="J88" s="5" t="s">
        <v>97</v>
      </c>
      <c r="K88" s="5" t="s">
        <v>98</v>
      </c>
      <c r="L88" s="5" t="s">
        <v>58</v>
      </c>
      <c r="M88" s="10">
        <v>4710.3</v>
      </c>
      <c r="N88" s="5" t="s">
        <v>99</v>
      </c>
    </row>
    <row r="89" spans="1:14">
      <c r="A89" s="5" t="s">
        <v>49</v>
      </c>
      <c r="B89" s="5" t="s">
        <v>50</v>
      </c>
      <c r="C89" s="5" t="s">
        <v>51</v>
      </c>
      <c r="D89" s="5" t="s">
        <v>51</v>
      </c>
      <c r="E89" s="13" t="s">
        <v>102</v>
      </c>
      <c r="F89" s="7">
        <v>545646</v>
      </c>
      <c r="G89" s="8">
        <v>2177.13</v>
      </c>
      <c r="H89" s="8">
        <v>2643.65</v>
      </c>
      <c r="I89" s="8">
        <v>4820.78</v>
      </c>
      <c r="J89" s="5" t="s">
        <v>97</v>
      </c>
      <c r="K89" s="5" t="s">
        <v>98</v>
      </c>
      <c r="L89" s="5" t="s">
        <v>58</v>
      </c>
      <c r="M89" s="10">
        <v>4547.1000000000004</v>
      </c>
      <c r="N89" s="5" t="s">
        <v>99</v>
      </c>
    </row>
    <row r="90" spans="1:14">
      <c r="A90" s="5" t="s">
        <v>49</v>
      </c>
      <c r="B90" s="5" t="s">
        <v>50</v>
      </c>
      <c r="C90" s="5" t="s">
        <v>51</v>
      </c>
      <c r="D90" s="5" t="s">
        <v>51</v>
      </c>
      <c r="E90" s="13" t="s">
        <v>103</v>
      </c>
      <c r="F90" s="7">
        <v>574689</v>
      </c>
      <c r="G90" s="8">
        <v>2293.0100000000002</v>
      </c>
      <c r="H90" s="8">
        <v>2784.37</v>
      </c>
      <c r="I90" s="8">
        <v>5077.38</v>
      </c>
      <c r="J90" s="5" t="s">
        <v>104</v>
      </c>
      <c r="K90" s="5" t="s">
        <v>98</v>
      </c>
      <c r="L90" s="5" t="s">
        <v>112</v>
      </c>
      <c r="M90" s="10">
        <v>4789.1000000000004</v>
      </c>
      <c r="N90" s="5" t="s">
        <v>99</v>
      </c>
    </row>
    <row r="91" spans="1:14">
      <c r="A91" s="5" t="s">
        <v>49</v>
      </c>
      <c r="B91" s="5" t="s">
        <v>50</v>
      </c>
      <c r="C91" s="5" t="s">
        <v>51</v>
      </c>
      <c r="D91" s="5" t="s">
        <v>51</v>
      </c>
      <c r="E91" s="13" t="s">
        <v>105</v>
      </c>
      <c r="F91" s="7">
        <v>619587</v>
      </c>
      <c r="G91" s="8">
        <v>2472.15</v>
      </c>
      <c r="H91" s="8">
        <v>3001.9</v>
      </c>
      <c r="I91" s="8">
        <v>5474.05</v>
      </c>
      <c r="J91" s="5" t="s">
        <v>104</v>
      </c>
      <c r="K91" s="5" t="s">
        <v>98</v>
      </c>
      <c r="L91" s="5" t="s">
        <v>58</v>
      </c>
      <c r="M91" s="10">
        <v>5163.2</v>
      </c>
      <c r="N91" s="5" t="s">
        <v>99</v>
      </c>
    </row>
    <row r="92" spans="1:14">
      <c r="A92" s="5" t="s">
        <v>49</v>
      </c>
      <c r="B92" s="5" t="s">
        <v>50</v>
      </c>
      <c r="C92" s="5" t="s">
        <v>51</v>
      </c>
      <c r="D92" s="5" t="s">
        <v>51</v>
      </c>
      <c r="E92" s="13" t="s">
        <v>106</v>
      </c>
      <c r="F92" s="7">
        <v>682282</v>
      </c>
      <c r="G92" s="8">
        <v>2722.3</v>
      </c>
      <c r="H92" s="8">
        <v>3305.65</v>
      </c>
      <c r="I92" s="8">
        <v>6027.96</v>
      </c>
      <c r="J92" s="5" t="s">
        <v>104</v>
      </c>
      <c r="K92" s="5" t="s">
        <v>98</v>
      </c>
      <c r="L92" s="5" t="s">
        <v>58</v>
      </c>
      <c r="M92" s="10">
        <v>5685.7</v>
      </c>
      <c r="N92" s="5" t="s">
        <v>99</v>
      </c>
    </row>
    <row r="93" spans="1:14">
      <c r="A93" s="5" t="s">
        <v>49</v>
      </c>
      <c r="B93" s="5" t="s">
        <v>50</v>
      </c>
      <c r="C93" s="5" t="s">
        <v>51</v>
      </c>
      <c r="D93" s="5" t="s">
        <v>51</v>
      </c>
      <c r="E93" s="13" t="s">
        <v>107</v>
      </c>
      <c r="F93" s="7">
        <v>696104</v>
      </c>
      <c r="G93" s="8">
        <v>2777.46</v>
      </c>
      <c r="H93" s="8">
        <v>3372.63</v>
      </c>
      <c r="I93" s="8">
        <v>6150.08</v>
      </c>
      <c r="J93" s="5" t="s">
        <v>104</v>
      </c>
      <c r="K93" s="5" t="s">
        <v>98</v>
      </c>
      <c r="L93" s="5" t="s">
        <v>58</v>
      </c>
      <c r="M93" s="10">
        <v>5800.9</v>
      </c>
      <c r="N93" s="5" t="s">
        <v>99</v>
      </c>
    </row>
    <row r="94" spans="1:14">
      <c r="A94" s="5" t="s">
        <v>49</v>
      </c>
      <c r="B94" s="5" t="s">
        <v>50</v>
      </c>
      <c r="C94" s="5" t="s">
        <v>51</v>
      </c>
      <c r="D94" s="5" t="s">
        <v>51</v>
      </c>
      <c r="E94" s="13" t="s">
        <v>108</v>
      </c>
      <c r="F94" s="7">
        <v>613210</v>
      </c>
      <c r="G94" s="8">
        <v>2446.71</v>
      </c>
      <c r="H94" s="8">
        <v>2971</v>
      </c>
      <c r="I94" s="8">
        <v>5417.71</v>
      </c>
      <c r="J94" s="5" t="s">
        <v>104</v>
      </c>
      <c r="K94" s="5" t="s">
        <v>98</v>
      </c>
      <c r="L94" s="5" t="s">
        <v>58</v>
      </c>
      <c r="M94" s="10">
        <v>5110.1000000000004</v>
      </c>
      <c r="N94" s="5" t="s">
        <v>99</v>
      </c>
    </row>
    <row r="95" spans="1:14">
      <c r="A95" s="5" t="s">
        <v>49</v>
      </c>
      <c r="B95" s="5" t="s">
        <v>50</v>
      </c>
      <c r="C95" s="5" t="s">
        <v>51</v>
      </c>
      <c r="D95" s="5" t="s">
        <v>51</v>
      </c>
      <c r="E95" s="13" t="s">
        <v>109</v>
      </c>
      <c r="F95" s="7">
        <v>571825</v>
      </c>
      <c r="G95" s="8">
        <v>2281.58</v>
      </c>
      <c r="H95" s="8">
        <v>2770.49</v>
      </c>
      <c r="I95" s="8">
        <v>5052.07</v>
      </c>
      <c r="J95" s="5" t="s">
        <v>97</v>
      </c>
      <c r="K95" s="5" t="s">
        <v>98</v>
      </c>
      <c r="L95" s="5" t="s">
        <v>58</v>
      </c>
      <c r="M95" s="10">
        <v>4765.2</v>
      </c>
      <c r="N95" s="5" t="s">
        <v>99</v>
      </c>
    </row>
    <row r="96" spans="1:14">
      <c r="A96" s="5" t="s">
        <v>49</v>
      </c>
      <c r="B96" s="5" t="s">
        <v>50</v>
      </c>
      <c r="C96" s="5" t="s">
        <v>51</v>
      </c>
      <c r="D96" s="5" t="s">
        <v>51</v>
      </c>
      <c r="E96" s="13" t="s">
        <v>110</v>
      </c>
      <c r="F96" s="7">
        <v>507046</v>
      </c>
      <c r="G96" s="8">
        <v>2023.11</v>
      </c>
      <c r="H96" s="8">
        <v>2456.64</v>
      </c>
      <c r="I96" s="8">
        <v>4479.75</v>
      </c>
      <c r="J96" s="5" t="s">
        <v>97</v>
      </c>
      <c r="K96" s="5" t="s">
        <v>98</v>
      </c>
      <c r="L96" s="5" t="s">
        <v>58</v>
      </c>
      <c r="M96" s="10">
        <v>4225.3999999999996</v>
      </c>
      <c r="N96" s="5" t="s">
        <v>99</v>
      </c>
    </row>
    <row r="97" spans="1:14">
      <c r="A97" s="5" t="s">
        <v>49</v>
      </c>
      <c r="B97" s="5" t="s">
        <v>50</v>
      </c>
      <c r="C97" s="5" t="s">
        <v>51</v>
      </c>
      <c r="D97" s="5" t="s">
        <v>51</v>
      </c>
      <c r="E97" s="13" t="s">
        <v>111</v>
      </c>
      <c r="F97" s="7">
        <v>530280</v>
      </c>
      <c r="G97" s="8">
        <v>2115.8200000000002</v>
      </c>
      <c r="H97" s="8">
        <v>2569.1999999999998</v>
      </c>
      <c r="I97" s="8">
        <v>4685.0200000000004</v>
      </c>
      <c r="J97" s="5" t="s">
        <v>97</v>
      </c>
      <c r="K97" s="5" t="s">
        <v>98</v>
      </c>
      <c r="L97" s="5" t="s">
        <v>58</v>
      </c>
      <c r="M97" s="10">
        <v>4419</v>
      </c>
      <c r="N97" s="5" t="s">
        <v>99</v>
      </c>
    </row>
    <row r="98" spans="1:14">
      <c r="A98" s="5" t="s">
        <v>52</v>
      </c>
      <c r="B98" s="5" t="s">
        <v>53</v>
      </c>
      <c r="C98" s="5" t="s">
        <v>24</v>
      </c>
      <c r="D98" s="5" t="s">
        <v>25</v>
      </c>
      <c r="E98" s="13" t="s">
        <v>96</v>
      </c>
      <c r="F98" s="7">
        <v>674262</v>
      </c>
      <c r="G98" s="8">
        <v>2973.5</v>
      </c>
      <c r="H98" s="8">
        <v>3610.67</v>
      </c>
      <c r="I98" s="8">
        <v>6584.17</v>
      </c>
      <c r="J98" s="5" t="s">
        <v>97</v>
      </c>
      <c r="K98" s="5" t="s">
        <v>98</v>
      </c>
      <c r="L98" s="5" t="s">
        <v>58</v>
      </c>
      <c r="M98" s="10">
        <v>3548.7</v>
      </c>
      <c r="N98" s="5" t="s">
        <v>99</v>
      </c>
    </row>
    <row r="99" spans="1:14">
      <c r="A99" s="5" t="s">
        <v>52</v>
      </c>
      <c r="B99" s="5" t="s">
        <v>53</v>
      </c>
      <c r="C99" s="5" t="s">
        <v>24</v>
      </c>
      <c r="D99" s="5" t="s">
        <v>25</v>
      </c>
      <c r="E99" s="13" t="s">
        <v>100</v>
      </c>
      <c r="F99" s="7">
        <v>564128</v>
      </c>
      <c r="G99" s="8">
        <v>2487.8000000000002</v>
      </c>
      <c r="H99" s="8">
        <v>3020.91</v>
      </c>
      <c r="I99" s="8">
        <v>5508.71</v>
      </c>
      <c r="J99" s="5" t="s">
        <v>97</v>
      </c>
      <c r="K99" s="5" t="s">
        <v>98</v>
      </c>
      <c r="L99" s="5" t="s">
        <v>58</v>
      </c>
      <c r="M99" s="10">
        <v>2969.1</v>
      </c>
      <c r="N99" s="5" t="s">
        <v>99</v>
      </c>
    </row>
    <row r="100" spans="1:14">
      <c r="A100" s="5" t="s">
        <v>52</v>
      </c>
      <c r="B100" s="5" t="s">
        <v>53</v>
      </c>
      <c r="C100" s="5" t="s">
        <v>24</v>
      </c>
      <c r="D100" s="5" t="s">
        <v>25</v>
      </c>
      <c r="E100" s="13" t="s">
        <v>101</v>
      </c>
      <c r="F100" s="7">
        <v>695069</v>
      </c>
      <c r="G100" s="8">
        <v>3065.26</v>
      </c>
      <c r="H100" s="8">
        <v>3722.1</v>
      </c>
      <c r="I100" s="8">
        <v>6787.35</v>
      </c>
      <c r="J100" s="5" t="s">
        <v>97</v>
      </c>
      <c r="K100" s="5" t="s">
        <v>98</v>
      </c>
      <c r="L100" s="5" t="s">
        <v>58</v>
      </c>
      <c r="M100" s="10">
        <v>3658.3</v>
      </c>
      <c r="N100" s="5" t="s">
        <v>99</v>
      </c>
    </row>
    <row r="101" spans="1:14">
      <c r="A101" s="5" t="s">
        <v>52</v>
      </c>
      <c r="B101" s="5" t="s">
        <v>53</v>
      </c>
      <c r="C101" s="5" t="s">
        <v>24</v>
      </c>
      <c r="D101" s="5" t="s">
        <v>25</v>
      </c>
      <c r="E101" s="13" t="s">
        <v>102</v>
      </c>
      <c r="F101" s="7">
        <v>688703</v>
      </c>
      <c r="G101" s="8">
        <v>3037.18</v>
      </c>
      <c r="H101" s="8">
        <v>3688</v>
      </c>
      <c r="I101" s="8">
        <v>6725.18</v>
      </c>
      <c r="J101" s="5" t="s">
        <v>97</v>
      </c>
      <c r="K101" s="5" t="s">
        <v>98</v>
      </c>
      <c r="L101" s="5" t="s">
        <v>58</v>
      </c>
      <c r="M101" s="10">
        <v>3624.8</v>
      </c>
      <c r="N101" s="5" t="s">
        <v>99</v>
      </c>
    </row>
    <row r="102" spans="1:14">
      <c r="A102" s="5" t="s">
        <v>52</v>
      </c>
      <c r="B102" s="5" t="s">
        <v>53</v>
      </c>
      <c r="C102" s="5" t="s">
        <v>24</v>
      </c>
      <c r="D102" s="5" t="s">
        <v>25</v>
      </c>
      <c r="E102" s="13" t="s">
        <v>103</v>
      </c>
      <c r="F102" s="7">
        <v>718278</v>
      </c>
      <c r="G102" s="8">
        <v>3167.61</v>
      </c>
      <c r="H102" s="8">
        <v>3846.38</v>
      </c>
      <c r="I102" s="8">
        <v>7013.99</v>
      </c>
      <c r="J102" s="5" t="s">
        <v>104</v>
      </c>
      <c r="K102" s="5" t="s">
        <v>98</v>
      </c>
      <c r="L102" s="5" t="s">
        <v>58</v>
      </c>
      <c r="M102" s="10">
        <v>3780.4</v>
      </c>
      <c r="N102" s="5" t="s">
        <v>99</v>
      </c>
    </row>
    <row r="103" spans="1:14">
      <c r="A103" s="5" t="s">
        <v>52</v>
      </c>
      <c r="B103" s="5" t="s">
        <v>53</v>
      </c>
      <c r="C103" s="5" t="s">
        <v>24</v>
      </c>
      <c r="D103" s="5" t="s">
        <v>25</v>
      </c>
      <c r="E103" s="13" t="s">
        <v>105</v>
      </c>
      <c r="F103" s="7">
        <v>836463</v>
      </c>
      <c r="G103" s="8">
        <v>3688.8</v>
      </c>
      <c r="H103" s="8">
        <v>4479.26</v>
      </c>
      <c r="I103" s="8">
        <v>8168.06</v>
      </c>
      <c r="J103" s="5" t="s">
        <v>104</v>
      </c>
      <c r="K103" s="5" t="s">
        <v>98</v>
      </c>
      <c r="L103" s="5" t="s">
        <v>58</v>
      </c>
      <c r="M103" s="10">
        <v>4402.3999999999996</v>
      </c>
      <c r="N103" s="5" t="s">
        <v>99</v>
      </c>
    </row>
    <row r="104" spans="1:14">
      <c r="A104" s="5" t="s">
        <v>52</v>
      </c>
      <c r="B104" s="5" t="s">
        <v>53</v>
      </c>
      <c r="C104" s="5" t="s">
        <v>24</v>
      </c>
      <c r="D104" s="5" t="s">
        <v>25</v>
      </c>
      <c r="E104" s="13" t="s">
        <v>106</v>
      </c>
      <c r="F104" s="7">
        <v>914492</v>
      </c>
      <c r="G104" s="8">
        <v>4032.91</v>
      </c>
      <c r="H104" s="8">
        <v>4897.1000000000004</v>
      </c>
      <c r="I104" s="8">
        <v>8930.01</v>
      </c>
      <c r="J104" s="5" t="s">
        <v>104</v>
      </c>
      <c r="K104" s="5" t="s">
        <v>98</v>
      </c>
      <c r="L104" s="5" t="s">
        <v>58</v>
      </c>
      <c r="M104" s="10">
        <v>4813.1000000000004</v>
      </c>
      <c r="N104" s="5" t="s">
        <v>99</v>
      </c>
    </row>
    <row r="105" spans="1:14">
      <c r="A105" s="5" t="s">
        <v>52</v>
      </c>
      <c r="B105" s="5" t="s">
        <v>53</v>
      </c>
      <c r="C105" s="5" t="s">
        <v>24</v>
      </c>
      <c r="D105" s="5" t="s">
        <v>25</v>
      </c>
      <c r="E105" s="13" t="s">
        <v>107</v>
      </c>
      <c r="F105" s="7">
        <v>890501</v>
      </c>
      <c r="G105" s="8">
        <v>3927.11</v>
      </c>
      <c r="H105" s="8">
        <v>4768.63</v>
      </c>
      <c r="I105" s="8">
        <v>8695.74</v>
      </c>
      <c r="J105" s="5" t="s">
        <v>104</v>
      </c>
      <c r="K105" s="5" t="s">
        <v>98</v>
      </c>
      <c r="L105" s="5" t="s">
        <v>58</v>
      </c>
      <c r="M105" s="10">
        <v>4686.8</v>
      </c>
      <c r="N105" s="5" t="s">
        <v>99</v>
      </c>
    </row>
    <row r="106" spans="1:14">
      <c r="A106" s="5" t="s">
        <v>52</v>
      </c>
      <c r="B106" s="5" t="s">
        <v>53</v>
      </c>
      <c r="C106" s="5" t="s">
        <v>24</v>
      </c>
      <c r="D106" s="5" t="s">
        <v>25</v>
      </c>
      <c r="E106" s="13" t="s">
        <v>108</v>
      </c>
      <c r="F106" s="7">
        <v>728200</v>
      </c>
      <c r="G106" s="8">
        <v>3211.36</v>
      </c>
      <c r="H106" s="8">
        <v>3899.51</v>
      </c>
      <c r="I106" s="8">
        <v>7110.87</v>
      </c>
      <c r="J106" s="5" t="s">
        <v>104</v>
      </c>
      <c r="K106" s="5" t="s">
        <v>98</v>
      </c>
      <c r="L106" s="5" t="s">
        <v>58</v>
      </c>
      <c r="M106" s="10">
        <v>3832.6</v>
      </c>
      <c r="N106" s="5" t="s">
        <v>99</v>
      </c>
    </row>
    <row r="107" spans="1:14">
      <c r="A107" s="5" t="s">
        <v>52</v>
      </c>
      <c r="B107" s="5" t="s">
        <v>53</v>
      </c>
      <c r="C107" s="5" t="s">
        <v>24</v>
      </c>
      <c r="D107" s="5" t="s">
        <v>25</v>
      </c>
      <c r="E107" s="13" t="s">
        <v>109</v>
      </c>
      <c r="F107" s="7">
        <v>715284</v>
      </c>
      <c r="G107" s="8">
        <v>3154.4</v>
      </c>
      <c r="H107" s="8">
        <v>3830.35</v>
      </c>
      <c r="I107" s="8">
        <v>6984.75</v>
      </c>
      <c r="J107" s="5" t="s">
        <v>97</v>
      </c>
      <c r="K107" s="5" t="s">
        <v>98</v>
      </c>
      <c r="L107" s="5" t="s">
        <v>58</v>
      </c>
      <c r="M107" s="10">
        <v>3764.7</v>
      </c>
      <c r="N107" s="5" t="s">
        <v>99</v>
      </c>
    </row>
    <row r="108" spans="1:14">
      <c r="A108" s="5" t="s">
        <v>52</v>
      </c>
      <c r="B108" s="5" t="s">
        <v>53</v>
      </c>
      <c r="C108" s="5" t="s">
        <v>24</v>
      </c>
      <c r="D108" s="5" t="s">
        <v>25</v>
      </c>
      <c r="E108" s="13" t="s">
        <v>110</v>
      </c>
      <c r="F108" s="7">
        <v>626800</v>
      </c>
      <c r="G108" s="8">
        <v>2764.19</v>
      </c>
      <c r="H108" s="8">
        <v>3356.52</v>
      </c>
      <c r="I108" s="8">
        <v>6120.71</v>
      </c>
      <c r="J108" s="5" t="s">
        <v>97</v>
      </c>
      <c r="K108" s="5" t="s">
        <v>98</v>
      </c>
      <c r="L108" s="5" t="s">
        <v>58</v>
      </c>
      <c r="M108" s="10">
        <v>3298.9</v>
      </c>
      <c r="N108" s="5" t="s">
        <v>99</v>
      </c>
    </row>
    <row r="109" spans="1:14">
      <c r="A109" s="5" t="s">
        <v>52</v>
      </c>
      <c r="B109" s="5" t="s">
        <v>53</v>
      </c>
      <c r="C109" s="5" t="s">
        <v>24</v>
      </c>
      <c r="D109" s="5" t="s">
        <v>25</v>
      </c>
      <c r="E109" s="13" t="s">
        <v>111</v>
      </c>
      <c r="F109" s="7">
        <v>655707</v>
      </c>
      <c r="G109" s="8">
        <v>2891.67</v>
      </c>
      <c r="H109" s="8">
        <v>3511.31</v>
      </c>
      <c r="I109" s="8">
        <v>6402.98</v>
      </c>
      <c r="J109" s="5" t="s">
        <v>97</v>
      </c>
      <c r="K109" s="5" t="s">
        <v>98</v>
      </c>
      <c r="L109" s="5" t="s">
        <v>58</v>
      </c>
      <c r="M109" s="10">
        <v>3451.1</v>
      </c>
      <c r="N109" s="5" t="s">
        <v>99</v>
      </c>
    </row>
    <row r="110" spans="1:14">
      <c r="A110" s="5" t="s">
        <v>54</v>
      </c>
      <c r="B110" s="5" t="s">
        <v>55</v>
      </c>
      <c r="C110" s="5" t="s">
        <v>56</v>
      </c>
      <c r="D110" s="5" t="s">
        <v>56</v>
      </c>
      <c r="E110" s="13" t="s">
        <v>96</v>
      </c>
      <c r="F110" s="7">
        <v>883113</v>
      </c>
      <c r="G110" s="8">
        <v>3968.71</v>
      </c>
      <c r="H110" s="8">
        <v>4819.1499999999996</v>
      </c>
      <c r="I110" s="8">
        <v>8787.85</v>
      </c>
      <c r="J110" s="5" t="s">
        <v>97</v>
      </c>
      <c r="K110" s="5" t="s">
        <v>98</v>
      </c>
      <c r="L110" s="5" t="s">
        <v>58</v>
      </c>
      <c r="M110" s="10">
        <v>5046.3999999999996</v>
      </c>
      <c r="N110" s="5" t="s">
        <v>99</v>
      </c>
    </row>
    <row r="111" spans="1:14">
      <c r="A111" s="5" t="s">
        <v>54</v>
      </c>
      <c r="B111" s="5" t="s">
        <v>55</v>
      </c>
      <c r="C111" s="5" t="s">
        <v>56</v>
      </c>
      <c r="D111" s="5" t="s">
        <v>56</v>
      </c>
      <c r="E111" s="13" t="s">
        <v>100</v>
      </c>
      <c r="F111" s="7">
        <v>789765</v>
      </c>
      <c r="G111" s="8">
        <v>3549.21</v>
      </c>
      <c r="H111" s="8">
        <v>4309.75</v>
      </c>
      <c r="I111" s="8">
        <v>7858.95</v>
      </c>
      <c r="J111" s="5" t="s">
        <v>97</v>
      </c>
      <c r="K111" s="5" t="s">
        <v>98</v>
      </c>
      <c r="L111" s="5" t="s">
        <v>58</v>
      </c>
      <c r="M111" s="10">
        <v>4512.8999999999996</v>
      </c>
      <c r="N111" s="5" t="s">
        <v>99</v>
      </c>
    </row>
    <row r="112" spans="1:14">
      <c r="A112" s="5" t="s">
        <v>54</v>
      </c>
      <c r="B112" s="5" t="s">
        <v>55</v>
      </c>
      <c r="C112" s="5" t="s">
        <v>56</v>
      </c>
      <c r="D112" s="5" t="s">
        <v>56</v>
      </c>
      <c r="E112" s="13" t="s">
        <v>101</v>
      </c>
      <c r="F112" s="7">
        <v>938943</v>
      </c>
      <c r="G112" s="8">
        <v>4219.6099999999997</v>
      </c>
      <c r="H112" s="8">
        <v>5123.8100000000004</v>
      </c>
      <c r="I112" s="8">
        <v>9343.43</v>
      </c>
      <c r="J112" s="5" t="s">
        <v>97</v>
      </c>
      <c r="K112" s="5" t="s">
        <v>98</v>
      </c>
      <c r="L112" s="5" t="s">
        <v>58</v>
      </c>
      <c r="M112" s="10">
        <v>5365.4</v>
      </c>
      <c r="N112" s="5" t="s">
        <v>99</v>
      </c>
    </row>
    <row r="113" spans="1:14">
      <c r="A113" s="5" t="s">
        <v>54</v>
      </c>
      <c r="B113" s="5" t="s">
        <v>55</v>
      </c>
      <c r="C113" s="5" t="s">
        <v>56</v>
      </c>
      <c r="D113" s="5" t="s">
        <v>56</v>
      </c>
      <c r="E113" s="13" t="s">
        <v>102</v>
      </c>
      <c r="F113" s="7">
        <v>898193</v>
      </c>
      <c r="G113" s="8">
        <v>4036.48</v>
      </c>
      <c r="H113" s="8">
        <v>4901.4399999999996</v>
      </c>
      <c r="I113" s="8">
        <v>8937.92</v>
      </c>
      <c r="J113" s="5" t="s">
        <v>97</v>
      </c>
      <c r="K113" s="5" t="s">
        <v>98</v>
      </c>
      <c r="L113" s="5" t="s">
        <v>58</v>
      </c>
      <c r="M113" s="10">
        <v>5132.5</v>
      </c>
      <c r="N113" s="5" t="s">
        <v>99</v>
      </c>
    </row>
    <row r="114" spans="1:14">
      <c r="A114" s="5" t="s">
        <v>54</v>
      </c>
      <c r="B114" s="5" t="s">
        <v>55</v>
      </c>
      <c r="C114" s="5" t="s">
        <v>56</v>
      </c>
      <c r="D114" s="5" t="s">
        <v>56</v>
      </c>
      <c r="E114" s="13" t="s">
        <v>103</v>
      </c>
      <c r="F114" s="7">
        <v>1011217</v>
      </c>
      <c r="G114" s="8">
        <v>4544.41</v>
      </c>
      <c r="H114" s="8">
        <v>5518.21</v>
      </c>
      <c r="I114" s="8">
        <v>10062.620000000001</v>
      </c>
      <c r="J114" s="5" t="s">
        <v>104</v>
      </c>
      <c r="K114" s="5" t="s">
        <v>98</v>
      </c>
      <c r="L114" s="5" t="s">
        <v>58</v>
      </c>
      <c r="M114" s="10">
        <v>5778.4</v>
      </c>
      <c r="N114" s="5" t="s">
        <v>99</v>
      </c>
    </row>
    <row r="115" spans="1:14">
      <c r="A115" s="5" t="s">
        <v>54</v>
      </c>
      <c r="B115" s="5" t="s">
        <v>55</v>
      </c>
      <c r="C115" s="5" t="s">
        <v>56</v>
      </c>
      <c r="D115" s="5" t="s">
        <v>56</v>
      </c>
      <c r="E115" s="13" t="s">
        <v>105</v>
      </c>
      <c r="F115" s="7">
        <v>1094789</v>
      </c>
      <c r="G115" s="8">
        <v>4919.9799999999996</v>
      </c>
      <c r="H115" s="8">
        <v>5974.26</v>
      </c>
      <c r="I115" s="8">
        <v>10894.24</v>
      </c>
      <c r="J115" s="5" t="s">
        <v>104</v>
      </c>
      <c r="K115" s="5" t="s">
        <v>98</v>
      </c>
      <c r="L115" s="5" t="s">
        <v>58</v>
      </c>
      <c r="M115" s="10">
        <v>6255.9</v>
      </c>
      <c r="N115" s="5" t="s">
        <v>99</v>
      </c>
    </row>
    <row r="116" spans="1:14">
      <c r="A116" s="5" t="s">
        <v>54</v>
      </c>
      <c r="B116" s="5" t="s">
        <v>55</v>
      </c>
      <c r="C116" s="5" t="s">
        <v>56</v>
      </c>
      <c r="D116" s="5" t="s">
        <v>56</v>
      </c>
      <c r="E116" s="13" t="s">
        <v>106</v>
      </c>
      <c r="F116" s="7">
        <v>1263222</v>
      </c>
      <c r="G116" s="8">
        <v>5676.92</v>
      </c>
      <c r="H116" s="8">
        <v>6893.41</v>
      </c>
      <c r="I116" s="8">
        <v>12570.33</v>
      </c>
      <c r="J116" s="5" t="s">
        <v>104</v>
      </c>
      <c r="K116" s="5" t="s">
        <v>98</v>
      </c>
      <c r="L116" s="5" t="s">
        <v>58</v>
      </c>
      <c r="M116" s="10">
        <v>7218.4</v>
      </c>
      <c r="N116" s="5" t="s">
        <v>99</v>
      </c>
    </row>
    <row r="117" spans="1:14">
      <c r="A117" s="5" t="s">
        <v>54</v>
      </c>
      <c r="B117" s="5" t="s">
        <v>55</v>
      </c>
      <c r="C117" s="5" t="s">
        <v>56</v>
      </c>
      <c r="D117" s="5" t="s">
        <v>56</v>
      </c>
      <c r="E117" s="13" t="s">
        <v>107</v>
      </c>
      <c r="F117" s="7">
        <v>1238954</v>
      </c>
      <c r="G117" s="8">
        <v>5567.86</v>
      </c>
      <c r="H117" s="8">
        <v>6760.97</v>
      </c>
      <c r="I117" s="8">
        <v>12328.83</v>
      </c>
      <c r="J117" s="5" t="s">
        <v>104</v>
      </c>
      <c r="K117" s="5" t="s">
        <v>98</v>
      </c>
      <c r="L117" s="5" t="s">
        <v>58</v>
      </c>
      <c r="M117" s="10">
        <v>7079.7</v>
      </c>
      <c r="N117" s="5" t="s">
        <v>99</v>
      </c>
    </row>
    <row r="118" spans="1:14">
      <c r="A118" s="5" t="s">
        <v>54</v>
      </c>
      <c r="B118" s="5" t="s">
        <v>55</v>
      </c>
      <c r="C118" s="5" t="s">
        <v>56</v>
      </c>
      <c r="D118" s="5" t="s">
        <v>56</v>
      </c>
      <c r="E118" s="13" t="s">
        <v>108</v>
      </c>
      <c r="F118" s="7">
        <v>992315</v>
      </c>
      <c r="G118" s="8">
        <v>4459.46</v>
      </c>
      <c r="H118" s="8">
        <v>5415.06</v>
      </c>
      <c r="I118" s="8">
        <v>9874.5300000000007</v>
      </c>
      <c r="J118" s="5" t="s">
        <v>104</v>
      </c>
      <c r="K118" s="5" t="s">
        <v>98</v>
      </c>
      <c r="L118" s="5" t="s">
        <v>58</v>
      </c>
      <c r="M118" s="10">
        <v>5670.4</v>
      </c>
      <c r="N118" s="5" t="s">
        <v>99</v>
      </c>
    </row>
    <row r="119" spans="1:14">
      <c r="A119" s="5" t="s">
        <v>54</v>
      </c>
      <c r="B119" s="5" t="s">
        <v>55</v>
      </c>
      <c r="C119" s="5" t="s">
        <v>56</v>
      </c>
      <c r="D119" s="5" t="s">
        <v>56</v>
      </c>
      <c r="E119" s="13" t="s">
        <v>109</v>
      </c>
      <c r="F119" s="7">
        <v>972391</v>
      </c>
      <c r="G119" s="8">
        <v>4369.93</v>
      </c>
      <c r="H119" s="8">
        <v>5306.34</v>
      </c>
      <c r="I119" s="8">
        <v>9676.27</v>
      </c>
      <c r="J119" s="5" t="s">
        <v>97</v>
      </c>
      <c r="K119" s="5" t="s">
        <v>98</v>
      </c>
      <c r="L119" s="5" t="s">
        <v>58</v>
      </c>
      <c r="M119" s="10">
        <v>5556.5</v>
      </c>
      <c r="N119" s="5" t="s">
        <v>99</v>
      </c>
    </row>
    <row r="120" spans="1:14">
      <c r="A120" s="5" t="s">
        <v>54</v>
      </c>
      <c r="B120" s="5" t="s">
        <v>55</v>
      </c>
      <c r="C120" s="5" t="s">
        <v>56</v>
      </c>
      <c r="D120" s="5" t="s">
        <v>56</v>
      </c>
      <c r="E120" s="13" t="s">
        <v>110</v>
      </c>
      <c r="F120" s="7">
        <v>882724</v>
      </c>
      <c r="G120" s="8">
        <v>3966.96</v>
      </c>
      <c r="H120" s="8">
        <v>4817.0200000000004</v>
      </c>
      <c r="I120" s="8">
        <v>8783.99</v>
      </c>
      <c r="J120" s="5" t="s">
        <v>97</v>
      </c>
      <c r="K120" s="5" t="s">
        <v>98</v>
      </c>
      <c r="L120" s="5" t="s">
        <v>58</v>
      </c>
      <c r="M120" s="10">
        <v>5044.1000000000004</v>
      </c>
      <c r="N120" s="5" t="s">
        <v>99</v>
      </c>
    </row>
    <row r="121" spans="1:14">
      <c r="A121" s="5" t="s">
        <v>54</v>
      </c>
      <c r="B121" s="5" t="s">
        <v>55</v>
      </c>
      <c r="C121" s="5" t="s">
        <v>56</v>
      </c>
      <c r="D121" s="5" t="s">
        <v>56</v>
      </c>
      <c r="E121" s="13" t="s">
        <v>111</v>
      </c>
      <c r="F121" s="7">
        <v>873848</v>
      </c>
      <c r="G121" s="8">
        <v>3927.07</v>
      </c>
      <c r="H121" s="8">
        <v>4768.59</v>
      </c>
      <c r="I121" s="8">
        <v>8695.66</v>
      </c>
      <c r="J121" s="5" t="s">
        <v>97</v>
      </c>
      <c r="K121" s="5" t="s">
        <v>98</v>
      </c>
      <c r="L121" s="5" t="s">
        <v>58</v>
      </c>
      <c r="M121" s="10">
        <v>4993.3999999999996</v>
      </c>
      <c r="N121" s="5" t="s">
        <v>99</v>
      </c>
    </row>
  </sheetData>
  <conditionalFormatting sqref="L2:L121">
    <cfRule type="expression" dxfId="0" priority="1">
      <formula>L2="Estimated"</formula>
    </cfRule>
  </conditionalFormatting>
  <dataValidations count="2">
    <dataValidation type="list" sqref="L2:L121" xr:uid="{55D4244F-41A5-44A6-94FB-9BBC8B91AC5A}">
      <formula1>"Actual,Estimated,Missing"</formula1>
    </dataValidation>
    <dataValidation type="list" sqref="J2:J121" xr:uid="{5E2CACC4-FA61-4FFE-9CD3-96EEA1AC13EA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D068-B826-4921-8818-B48241363CBB}">
  <dimension ref="A1:Q121"/>
  <sheetViews>
    <sheetView topLeftCell="J1" workbookViewId="0">
      <selection activeCell="O1" sqref="O1:P1"/>
    </sheetView>
  </sheetViews>
  <sheetFormatPr defaultRowHeight="14.25"/>
  <cols>
    <col min="1" max="1" width="13.7109375" style="5" customWidth="1"/>
    <col min="2" max="2" width="36.5703125" style="5" customWidth="1"/>
    <col min="3" max="4" width="10" style="5" customWidth="1"/>
    <col min="5" max="5" width="7.7109375" style="5" customWidth="1"/>
    <col min="6" max="6" width="9.28515625" style="5" customWidth="1"/>
    <col min="7" max="7" width="14.28515625" style="5" customWidth="1"/>
    <col min="8" max="8" width="16" style="5" customWidth="1"/>
    <col min="9" max="9" width="15.85546875" style="5" customWidth="1"/>
    <col min="10" max="10" width="18.5703125" style="5" customWidth="1"/>
    <col min="11" max="11" width="17.28515625" style="5" customWidth="1"/>
    <col min="12" max="12" width="36.5703125" style="5" customWidth="1"/>
    <col min="13" max="13" width="14.42578125" style="5" customWidth="1"/>
    <col min="14" max="14" width="18.85546875" style="5" customWidth="1"/>
    <col min="15" max="15" width="27.42578125" style="5" customWidth="1"/>
    <col min="16" max="16" width="16" style="5" customWidth="1"/>
    <col min="17" max="17" width="36.5703125" style="5" customWidth="1"/>
    <col min="18" max="16384" width="9.140625" style="5"/>
  </cols>
  <sheetData>
    <row r="1" spans="1:17" ht="30">
      <c r="A1" s="14" t="s">
        <v>0</v>
      </c>
      <c r="B1" s="14" t="s">
        <v>1</v>
      </c>
      <c r="C1" s="14" t="s">
        <v>2</v>
      </c>
      <c r="D1" s="14" t="s">
        <v>4</v>
      </c>
      <c r="E1" s="14" t="s">
        <v>3</v>
      </c>
      <c r="F1" s="14" t="s">
        <v>11</v>
      </c>
      <c r="G1" s="15" t="s">
        <v>113</v>
      </c>
      <c r="H1" s="15" t="s">
        <v>114</v>
      </c>
      <c r="I1" s="15" t="s">
        <v>115</v>
      </c>
      <c r="J1" s="15" t="s">
        <v>116</v>
      </c>
      <c r="K1" s="16" t="s">
        <v>117</v>
      </c>
      <c r="L1" s="14" t="s">
        <v>118</v>
      </c>
      <c r="M1" s="14" t="s">
        <v>16</v>
      </c>
      <c r="N1" s="14" t="s">
        <v>64</v>
      </c>
      <c r="O1" s="17" t="s">
        <v>119</v>
      </c>
      <c r="P1" s="17" t="s">
        <v>120</v>
      </c>
      <c r="Q1" s="14" t="s">
        <v>65</v>
      </c>
    </row>
    <row r="2" spans="1:17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57</v>
      </c>
      <c r="G2" s="5">
        <v>9.4499999999999993</v>
      </c>
      <c r="H2" s="5">
        <v>2.57</v>
      </c>
      <c r="I2" s="5">
        <v>0.26</v>
      </c>
      <c r="J2" s="5">
        <v>12.29</v>
      </c>
      <c r="K2" s="5">
        <v>2167</v>
      </c>
      <c r="L2" s="5" t="s">
        <v>121</v>
      </c>
      <c r="M2" s="5" t="s">
        <v>58</v>
      </c>
      <c r="N2" s="5">
        <v>12</v>
      </c>
      <c r="O2" s="5">
        <v>136.5</v>
      </c>
      <c r="P2" s="5">
        <v>0.23100000000000001</v>
      </c>
      <c r="Q2" s="5" t="s">
        <v>122</v>
      </c>
    </row>
    <row r="3" spans="1:17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59</v>
      </c>
      <c r="G3" s="5">
        <v>8.7200000000000006</v>
      </c>
      <c r="H3" s="5">
        <v>2.23</v>
      </c>
      <c r="I3" s="5">
        <v>0.15</v>
      </c>
      <c r="J3" s="5">
        <v>11.11</v>
      </c>
      <c r="K3" s="5">
        <v>1789</v>
      </c>
      <c r="L3" s="5" t="s">
        <v>121</v>
      </c>
      <c r="M3" s="5" t="s">
        <v>58</v>
      </c>
      <c r="N3" s="5">
        <v>12</v>
      </c>
      <c r="O3" s="5">
        <v>123.4</v>
      </c>
      <c r="P3" s="5">
        <v>0.215</v>
      </c>
      <c r="Q3" s="5" t="s">
        <v>122</v>
      </c>
    </row>
    <row r="4" spans="1:17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60</v>
      </c>
      <c r="G4" s="5">
        <v>9.44</v>
      </c>
      <c r="H4" s="5">
        <v>2.1</v>
      </c>
      <c r="I4" s="5">
        <v>0.18</v>
      </c>
      <c r="J4" s="5">
        <v>11.73</v>
      </c>
      <c r="K4" s="5">
        <v>2008</v>
      </c>
      <c r="L4" s="5" t="s">
        <v>121</v>
      </c>
      <c r="M4" s="5" t="s">
        <v>58</v>
      </c>
      <c r="N4" s="5">
        <v>12</v>
      </c>
      <c r="O4" s="5">
        <v>130.30000000000001</v>
      </c>
      <c r="P4" s="5">
        <v>0.19500000000000001</v>
      </c>
      <c r="Q4" s="5" t="s">
        <v>122</v>
      </c>
    </row>
    <row r="5" spans="1:17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61</v>
      </c>
      <c r="G5" s="5">
        <v>9.5500000000000007</v>
      </c>
      <c r="H5" s="5">
        <v>2.2200000000000002</v>
      </c>
      <c r="I5" s="5">
        <v>0.24</v>
      </c>
      <c r="J5" s="5">
        <v>12.01</v>
      </c>
      <c r="K5" s="5">
        <v>2099</v>
      </c>
      <c r="L5" s="5" t="s">
        <v>121</v>
      </c>
      <c r="M5" s="5" t="s">
        <v>58</v>
      </c>
      <c r="N5" s="5">
        <v>12</v>
      </c>
      <c r="O5" s="5">
        <v>133.4</v>
      </c>
      <c r="P5" s="5">
        <v>0.20499999999999999</v>
      </c>
      <c r="Q5" s="5" t="s">
        <v>122</v>
      </c>
    </row>
    <row r="6" spans="1:17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66</v>
      </c>
      <c r="G6" s="5">
        <v>9.33</v>
      </c>
      <c r="H6" s="5">
        <v>2.59</v>
      </c>
      <c r="I6" s="5">
        <v>0.26</v>
      </c>
      <c r="J6" s="5">
        <v>12.18</v>
      </c>
      <c r="K6" s="5">
        <v>1964</v>
      </c>
      <c r="L6" s="5" t="s">
        <v>121</v>
      </c>
      <c r="M6" s="5" t="s">
        <v>58</v>
      </c>
      <c r="N6" s="5">
        <v>12</v>
      </c>
      <c r="O6" s="5">
        <v>135.4</v>
      </c>
      <c r="P6" s="5">
        <v>0.23400000000000001</v>
      </c>
      <c r="Q6" s="5" t="s">
        <v>122</v>
      </c>
    </row>
    <row r="7" spans="1:17">
      <c r="A7" s="5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67</v>
      </c>
      <c r="G7" s="5">
        <v>9.8800000000000008</v>
      </c>
      <c r="H7" s="5">
        <v>2.92</v>
      </c>
      <c r="I7" s="5">
        <v>0.22</v>
      </c>
      <c r="J7" s="5">
        <v>13.03</v>
      </c>
      <c r="K7" s="5">
        <v>1982</v>
      </c>
      <c r="L7" s="5" t="s">
        <v>121</v>
      </c>
      <c r="M7" s="5" t="s">
        <v>58</v>
      </c>
      <c r="N7" s="5">
        <v>12</v>
      </c>
      <c r="O7" s="5">
        <v>144.80000000000001</v>
      </c>
      <c r="P7" s="5">
        <v>0.24199999999999999</v>
      </c>
      <c r="Q7" s="5" t="s">
        <v>122</v>
      </c>
    </row>
    <row r="8" spans="1:17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68</v>
      </c>
      <c r="G8" s="5">
        <v>9.5500000000000007</v>
      </c>
      <c r="H8" s="5">
        <v>2.7</v>
      </c>
      <c r="I8" s="5">
        <v>0.25</v>
      </c>
      <c r="J8" s="5">
        <v>12.51</v>
      </c>
      <c r="K8" s="5">
        <v>2168</v>
      </c>
      <c r="L8" s="5" t="s">
        <v>121</v>
      </c>
      <c r="M8" s="5" t="s">
        <v>58</v>
      </c>
      <c r="N8" s="5">
        <v>12</v>
      </c>
      <c r="O8" s="5">
        <v>138.9</v>
      </c>
      <c r="P8" s="5">
        <v>0.23599999999999999</v>
      </c>
      <c r="Q8" s="5" t="s">
        <v>122</v>
      </c>
    </row>
    <row r="9" spans="1:17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69</v>
      </c>
      <c r="G9" s="5">
        <v>10.07</v>
      </c>
      <c r="H9" s="5">
        <v>2.5299999999999998</v>
      </c>
      <c r="I9" s="5">
        <v>0.32</v>
      </c>
      <c r="J9" s="5">
        <v>12.92</v>
      </c>
      <c r="K9" s="5">
        <v>2071</v>
      </c>
      <c r="L9" s="5" t="s">
        <v>121</v>
      </c>
      <c r="M9" s="5" t="s">
        <v>58</v>
      </c>
      <c r="N9" s="5">
        <v>12</v>
      </c>
      <c r="O9" s="5">
        <v>143.5</v>
      </c>
      <c r="P9" s="5">
        <v>0.221</v>
      </c>
      <c r="Q9" s="5" t="s">
        <v>122</v>
      </c>
    </row>
    <row r="10" spans="1:17">
      <c r="A10" s="5" t="s">
        <v>22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70</v>
      </c>
      <c r="G10" s="5">
        <v>9.3699999999999992</v>
      </c>
      <c r="H10" s="5">
        <v>2.63</v>
      </c>
      <c r="I10" s="5">
        <v>0.25</v>
      </c>
      <c r="J10" s="5">
        <v>12.26</v>
      </c>
      <c r="K10" s="5">
        <v>2152</v>
      </c>
      <c r="L10" s="5" t="s">
        <v>121</v>
      </c>
      <c r="M10" s="5" t="s">
        <v>58</v>
      </c>
      <c r="N10" s="5">
        <v>12</v>
      </c>
      <c r="O10" s="5">
        <v>136.19999999999999</v>
      </c>
      <c r="P10" s="5">
        <v>0.23499999999999999</v>
      </c>
      <c r="Q10" s="5" t="s">
        <v>122</v>
      </c>
    </row>
    <row r="11" spans="1:17">
      <c r="A11" s="5" t="s">
        <v>22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71</v>
      </c>
      <c r="G11" s="5">
        <v>9.2799999999999994</v>
      </c>
      <c r="H11" s="5">
        <v>2.59</v>
      </c>
      <c r="I11" s="5">
        <v>0.17</v>
      </c>
      <c r="J11" s="5">
        <v>12.04</v>
      </c>
      <c r="K11" s="5">
        <v>1907</v>
      </c>
      <c r="L11" s="5" t="s">
        <v>121</v>
      </c>
      <c r="M11" s="5" t="s">
        <v>58</v>
      </c>
      <c r="N11" s="5">
        <v>12</v>
      </c>
      <c r="O11" s="5">
        <v>133.80000000000001</v>
      </c>
      <c r="P11" s="5">
        <v>0.22900000000000001</v>
      </c>
      <c r="Q11" s="5" t="s">
        <v>122</v>
      </c>
    </row>
    <row r="12" spans="1:17">
      <c r="A12" s="5" t="s">
        <v>22</v>
      </c>
      <c r="B12" s="5" t="s">
        <v>23</v>
      </c>
      <c r="C12" s="5" t="s">
        <v>24</v>
      </c>
      <c r="D12" s="5" t="s">
        <v>25</v>
      </c>
      <c r="E12" s="5" t="s">
        <v>26</v>
      </c>
      <c r="F12" s="5" t="s">
        <v>72</v>
      </c>
      <c r="G12" s="5">
        <v>9.81</v>
      </c>
      <c r="H12" s="5">
        <v>2.2200000000000002</v>
      </c>
      <c r="I12" s="5">
        <v>0.2</v>
      </c>
      <c r="J12" s="5">
        <v>12.23</v>
      </c>
      <c r="K12" s="5">
        <v>1888</v>
      </c>
      <c r="L12" s="5" t="s">
        <v>121</v>
      </c>
      <c r="M12" s="5" t="s">
        <v>58</v>
      </c>
      <c r="N12" s="5">
        <v>12</v>
      </c>
      <c r="O12" s="5">
        <v>135.9</v>
      </c>
      <c r="P12" s="5">
        <v>0.19800000000000001</v>
      </c>
      <c r="Q12" s="5" t="s">
        <v>122</v>
      </c>
    </row>
    <row r="13" spans="1:17">
      <c r="A13" s="5" t="s">
        <v>22</v>
      </c>
      <c r="B13" s="5" t="s">
        <v>23</v>
      </c>
      <c r="C13" s="5" t="s">
        <v>24</v>
      </c>
      <c r="D13" s="5" t="s">
        <v>25</v>
      </c>
      <c r="E13" s="5" t="s">
        <v>26</v>
      </c>
      <c r="F13" s="5" t="s">
        <v>73</v>
      </c>
      <c r="G13" s="5">
        <v>10.19</v>
      </c>
      <c r="H13" s="5">
        <v>2.74</v>
      </c>
      <c r="I13" s="5">
        <v>0.23</v>
      </c>
      <c r="J13" s="5">
        <v>13.16</v>
      </c>
      <c r="K13" s="5">
        <v>2100</v>
      </c>
      <c r="L13" s="5" t="s">
        <v>121</v>
      </c>
      <c r="M13" s="5" t="s">
        <v>58</v>
      </c>
      <c r="N13" s="5">
        <v>12</v>
      </c>
      <c r="O13" s="5">
        <v>146.30000000000001</v>
      </c>
      <c r="P13" s="5">
        <v>0.22600000000000001</v>
      </c>
      <c r="Q13" s="5" t="s">
        <v>122</v>
      </c>
    </row>
    <row r="14" spans="1:17">
      <c r="A14" s="5" t="s">
        <v>28</v>
      </c>
      <c r="B14" s="5" t="s">
        <v>29</v>
      </c>
      <c r="C14" s="5" t="s">
        <v>30</v>
      </c>
      <c r="D14" s="5" t="s">
        <v>30</v>
      </c>
      <c r="E14" s="5" t="s">
        <v>26</v>
      </c>
      <c r="F14" s="5" t="s">
        <v>57</v>
      </c>
      <c r="G14" s="5">
        <v>13.88</v>
      </c>
      <c r="H14" s="5">
        <v>2.78</v>
      </c>
      <c r="I14" s="5">
        <v>0.4</v>
      </c>
      <c r="J14" s="5">
        <v>17.059999999999999</v>
      </c>
      <c r="K14" s="5">
        <v>2862</v>
      </c>
      <c r="L14" s="5" t="s">
        <v>123</v>
      </c>
      <c r="M14" s="5" t="s">
        <v>58</v>
      </c>
      <c r="N14" s="5">
        <v>12</v>
      </c>
      <c r="O14" s="5">
        <v>142.19999999999999</v>
      </c>
      <c r="P14" s="5">
        <v>0.186</v>
      </c>
      <c r="Q14" s="5" t="s">
        <v>122</v>
      </c>
    </row>
    <row r="15" spans="1:17">
      <c r="A15" s="5" t="s">
        <v>28</v>
      </c>
      <c r="B15" s="5" t="s">
        <v>29</v>
      </c>
      <c r="C15" s="5" t="s">
        <v>30</v>
      </c>
      <c r="D15" s="5" t="s">
        <v>30</v>
      </c>
      <c r="E15" s="5" t="s">
        <v>26</v>
      </c>
      <c r="F15" s="5" t="s">
        <v>59</v>
      </c>
      <c r="G15" s="5">
        <v>12.38</v>
      </c>
      <c r="H15" s="5">
        <v>2.06</v>
      </c>
      <c r="I15" s="5">
        <v>0.56000000000000005</v>
      </c>
      <c r="J15" s="5">
        <v>15</v>
      </c>
      <c r="K15" s="5">
        <v>2539</v>
      </c>
      <c r="L15" s="5" t="s">
        <v>123</v>
      </c>
      <c r="M15" s="5" t="s">
        <v>58</v>
      </c>
      <c r="N15" s="5">
        <v>12</v>
      </c>
      <c r="O15" s="5">
        <v>125</v>
      </c>
      <c r="P15" s="5">
        <v>0.17499999999999999</v>
      </c>
      <c r="Q15" s="5" t="s">
        <v>122</v>
      </c>
    </row>
    <row r="16" spans="1:17">
      <c r="A16" s="5" t="s">
        <v>28</v>
      </c>
      <c r="B16" s="5" t="s">
        <v>29</v>
      </c>
      <c r="C16" s="5" t="s">
        <v>30</v>
      </c>
      <c r="D16" s="5" t="s">
        <v>30</v>
      </c>
      <c r="E16" s="5" t="s">
        <v>26</v>
      </c>
      <c r="F16" s="5" t="s">
        <v>60</v>
      </c>
      <c r="G16" s="5">
        <v>12.81</v>
      </c>
      <c r="H16" s="5">
        <v>2.4500000000000002</v>
      </c>
      <c r="I16" s="5">
        <v>0.55000000000000004</v>
      </c>
      <c r="J16" s="5">
        <v>15.81</v>
      </c>
      <c r="K16" s="5">
        <v>2709</v>
      </c>
      <c r="L16" s="5" t="s">
        <v>123</v>
      </c>
      <c r="M16" s="5" t="s">
        <v>58</v>
      </c>
      <c r="N16" s="5">
        <v>12</v>
      </c>
      <c r="O16" s="5">
        <v>131.80000000000001</v>
      </c>
      <c r="P16" s="5">
        <v>0.19</v>
      </c>
      <c r="Q16" s="5" t="s">
        <v>122</v>
      </c>
    </row>
    <row r="17" spans="1:17">
      <c r="A17" s="5" t="s">
        <v>28</v>
      </c>
      <c r="B17" s="5" t="s">
        <v>29</v>
      </c>
      <c r="C17" s="5" t="s">
        <v>30</v>
      </c>
      <c r="D17" s="5" t="s">
        <v>30</v>
      </c>
      <c r="E17" s="5" t="s">
        <v>26</v>
      </c>
      <c r="F17" s="5" t="s">
        <v>61</v>
      </c>
      <c r="G17" s="5">
        <v>13.24</v>
      </c>
      <c r="H17" s="5">
        <v>2.0699999999999998</v>
      </c>
      <c r="I17" s="5">
        <v>0.41</v>
      </c>
      <c r="J17" s="5">
        <v>15.71</v>
      </c>
      <c r="K17" s="5">
        <v>2472</v>
      </c>
      <c r="L17" s="5" t="s">
        <v>123</v>
      </c>
      <c r="M17" s="5" t="s">
        <v>58</v>
      </c>
      <c r="N17" s="5">
        <v>12</v>
      </c>
      <c r="O17" s="5">
        <v>130.9</v>
      </c>
      <c r="P17" s="5">
        <v>0.157</v>
      </c>
      <c r="Q17" s="5" t="s">
        <v>122</v>
      </c>
    </row>
    <row r="18" spans="1:17">
      <c r="A18" s="5" t="s">
        <v>28</v>
      </c>
      <c r="B18" s="5" t="s">
        <v>29</v>
      </c>
      <c r="C18" s="5" t="s">
        <v>30</v>
      </c>
      <c r="D18" s="5" t="s">
        <v>30</v>
      </c>
      <c r="E18" s="5" t="s">
        <v>26</v>
      </c>
      <c r="F18" s="5" t="s">
        <v>66</v>
      </c>
      <c r="G18" s="5">
        <v>13.25</v>
      </c>
      <c r="H18" s="5">
        <v>2.78</v>
      </c>
      <c r="I18" s="5">
        <v>0.59</v>
      </c>
      <c r="J18" s="5">
        <v>16.63</v>
      </c>
      <c r="K18" s="5">
        <v>2609</v>
      </c>
      <c r="L18" s="5" t="s">
        <v>123</v>
      </c>
      <c r="M18" s="5" t="s">
        <v>58</v>
      </c>
      <c r="N18" s="5">
        <v>12</v>
      </c>
      <c r="O18" s="5">
        <v>138.6</v>
      </c>
      <c r="P18" s="5">
        <v>0.20300000000000001</v>
      </c>
      <c r="Q18" s="5" t="s">
        <v>122</v>
      </c>
    </row>
    <row r="19" spans="1:17">
      <c r="A19" s="5" t="s">
        <v>28</v>
      </c>
      <c r="B19" s="5" t="s">
        <v>29</v>
      </c>
      <c r="C19" s="5" t="s">
        <v>30</v>
      </c>
      <c r="D19" s="5" t="s">
        <v>30</v>
      </c>
      <c r="E19" s="5" t="s">
        <v>26</v>
      </c>
      <c r="F19" s="5" t="s">
        <v>67</v>
      </c>
      <c r="G19" s="5">
        <v>15.01</v>
      </c>
      <c r="H19" s="5">
        <v>2.54</v>
      </c>
      <c r="I19" s="5">
        <v>0.66</v>
      </c>
      <c r="J19" s="5">
        <v>18.21</v>
      </c>
      <c r="K19" s="5">
        <v>2883</v>
      </c>
      <c r="L19" s="5" t="s">
        <v>123</v>
      </c>
      <c r="M19" s="5" t="s">
        <v>58</v>
      </c>
      <c r="N19" s="5">
        <v>12</v>
      </c>
      <c r="O19" s="5">
        <v>151.80000000000001</v>
      </c>
      <c r="P19" s="5">
        <v>0.17599999999999999</v>
      </c>
      <c r="Q19" s="5" t="s">
        <v>122</v>
      </c>
    </row>
    <row r="20" spans="1:17">
      <c r="A20" s="5" t="s">
        <v>28</v>
      </c>
      <c r="B20" s="5" t="s">
        <v>29</v>
      </c>
      <c r="C20" s="5" t="s">
        <v>30</v>
      </c>
      <c r="D20" s="5" t="s">
        <v>30</v>
      </c>
      <c r="E20" s="5" t="s">
        <v>26</v>
      </c>
      <c r="F20" s="5" t="s">
        <v>68</v>
      </c>
      <c r="G20" s="5">
        <v>14.16</v>
      </c>
      <c r="H20" s="5">
        <v>2.35</v>
      </c>
      <c r="I20" s="5">
        <v>0.51</v>
      </c>
      <c r="J20" s="5">
        <v>17.02</v>
      </c>
      <c r="K20" s="5">
        <v>2633</v>
      </c>
      <c r="L20" s="5" t="s">
        <v>123</v>
      </c>
      <c r="M20" s="5" t="s">
        <v>58</v>
      </c>
      <c r="N20" s="5">
        <v>12</v>
      </c>
      <c r="O20" s="5">
        <v>141.80000000000001</v>
      </c>
      <c r="P20" s="5">
        <v>0.16800000000000001</v>
      </c>
      <c r="Q20" s="5" t="s">
        <v>122</v>
      </c>
    </row>
    <row r="21" spans="1:17">
      <c r="A21" s="5" t="s">
        <v>28</v>
      </c>
      <c r="B21" s="5" t="s">
        <v>29</v>
      </c>
      <c r="C21" s="5" t="s">
        <v>30</v>
      </c>
      <c r="D21" s="5" t="s">
        <v>30</v>
      </c>
      <c r="E21" s="5" t="s">
        <v>26</v>
      </c>
      <c r="F21" s="5" t="s">
        <v>69</v>
      </c>
      <c r="G21" s="5">
        <v>13.7</v>
      </c>
      <c r="H21" s="5">
        <v>2.97</v>
      </c>
      <c r="I21" s="5">
        <v>0.47</v>
      </c>
      <c r="J21" s="5">
        <v>17.14</v>
      </c>
      <c r="K21" s="5">
        <v>2628</v>
      </c>
      <c r="L21" s="5" t="s">
        <v>123</v>
      </c>
      <c r="M21" s="5" t="s">
        <v>58</v>
      </c>
      <c r="N21" s="5">
        <v>12</v>
      </c>
      <c r="O21" s="5">
        <v>142.80000000000001</v>
      </c>
      <c r="P21" s="5">
        <v>0.20100000000000001</v>
      </c>
      <c r="Q21" s="5" t="s">
        <v>122</v>
      </c>
    </row>
    <row r="22" spans="1:17">
      <c r="A22" s="5" t="s">
        <v>28</v>
      </c>
      <c r="B22" s="5" t="s">
        <v>29</v>
      </c>
      <c r="C22" s="5" t="s">
        <v>30</v>
      </c>
      <c r="D22" s="5" t="s">
        <v>30</v>
      </c>
      <c r="E22" s="5" t="s">
        <v>26</v>
      </c>
      <c r="F22" s="5" t="s">
        <v>70</v>
      </c>
      <c r="G22" s="5">
        <v>13.94</v>
      </c>
      <c r="H22" s="5">
        <v>2.72</v>
      </c>
      <c r="I22" s="5">
        <v>0.37</v>
      </c>
      <c r="J22" s="5">
        <v>17.03</v>
      </c>
      <c r="K22" s="5">
        <v>2532</v>
      </c>
      <c r="L22" s="5" t="s">
        <v>123</v>
      </c>
      <c r="M22" s="5" t="s">
        <v>58</v>
      </c>
      <c r="N22" s="5">
        <v>12</v>
      </c>
      <c r="O22" s="5">
        <v>141.9</v>
      </c>
      <c r="P22" s="5">
        <v>0.18099999999999999</v>
      </c>
      <c r="Q22" s="5" t="s">
        <v>122</v>
      </c>
    </row>
    <row r="23" spans="1:17">
      <c r="A23" s="5" t="s">
        <v>28</v>
      </c>
      <c r="B23" s="5" t="s">
        <v>29</v>
      </c>
      <c r="C23" s="5" t="s">
        <v>30</v>
      </c>
      <c r="D23" s="5" t="s">
        <v>30</v>
      </c>
      <c r="E23" s="5" t="s">
        <v>26</v>
      </c>
      <c r="F23" s="5" t="s">
        <v>71</v>
      </c>
      <c r="G23" s="5">
        <v>12.65</v>
      </c>
      <c r="H23" s="5">
        <v>2.38</v>
      </c>
      <c r="I23" s="5">
        <v>0.53</v>
      </c>
      <c r="J23" s="5">
        <v>15.56</v>
      </c>
      <c r="K23" s="5">
        <v>2520</v>
      </c>
      <c r="L23" s="5" t="s">
        <v>123</v>
      </c>
      <c r="M23" s="5" t="s">
        <v>58</v>
      </c>
      <c r="N23" s="5">
        <v>12</v>
      </c>
      <c r="O23" s="5">
        <v>129.69999999999999</v>
      </c>
      <c r="P23" s="5">
        <v>0.187</v>
      </c>
      <c r="Q23" s="5" t="s">
        <v>122</v>
      </c>
    </row>
    <row r="24" spans="1:17">
      <c r="A24" s="5" t="s">
        <v>28</v>
      </c>
      <c r="B24" s="5" t="s">
        <v>29</v>
      </c>
      <c r="C24" s="5" t="s">
        <v>30</v>
      </c>
      <c r="D24" s="5" t="s">
        <v>30</v>
      </c>
      <c r="E24" s="5" t="s">
        <v>26</v>
      </c>
      <c r="F24" s="5" t="s">
        <v>72</v>
      </c>
      <c r="G24" s="5">
        <v>13.3</v>
      </c>
      <c r="H24" s="5">
        <v>2.21</v>
      </c>
      <c r="I24" s="5">
        <v>0.61</v>
      </c>
      <c r="J24" s="5">
        <v>16.12</v>
      </c>
      <c r="K24" s="5">
        <v>2641</v>
      </c>
      <c r="L24" s="5" t="s">
        <v>123</v>
      </c>
      <c r="M24" s="5" t="s">
        <v>58</v>
      </c>
      <c r="N24" s="5">
        <v>12</v>
      </c>
      <c r="O24" s="5">
        <v>134.30000000000001</v>
      </c>
      <c r="P24" s="5">
        <v>0.17499999999999999</v>
      </c>
      <c r="Q24" s="5" t="s">
        <v>122</v>
      </c>
    </row>
    <row r="25" spans="1:17">
      <c r="A25" s="5" t="s">
        <v>28</v>
      </c>
      <c r="B25" s="5" t="s">
        <v>29</v>
      </c>
      <c r="C25" s="5" t="s">
        <v>30</v>
      </c>
      <c r="D25" s="5" t="s">
        <v>30</v>
      </c>
      <c r="E25" s="5" t="s">
        <v>26</v>
      </c>
      <c r="F25" s="5" t="s">
        <v>73</v>
      </c>
      <c r="G25" s="5">
        <v>14.95</v>
      </c>
      <c r="H25" s="5">
        <v>3.33</v>
      </c>
      <c r="I25" s="5">
        <v>0.38</v>
      </c>
      <c r="J25" s="5">
        <v>18.670000000000002</v>
      </c>
      <c r="K25" s="5">
        <v>3079</v>
      </c>
      <c r="L25" s="5" t="s">
        <v>123</v>
      </c>
      <c r="M25" s="5" t="s">
        <v>58</v>
      </c>
      <c r="N25" s="5">
        <v>12</v>
      </c>
      <c r="O25" s="5">
        <v>155.5</v>
      </c>
      <c r="P25" s="5">
        <v>0.19900000000000001</v>
      </c>
      <c r="Q25" s="5" t="s">
        <v>122</v>
      </c>
    </row>
    <row r="26" spans="1:17">
      <c r="A26" s="5" t="s">
        <v>31</v>
      </c>
      <c r="B26" s="5" t="s">
        <v>32</v>
      </c>
      <c r="C26" s="5" t="s">
        <v>33</v>
      </c>
      <c r="D26" s="5" t="s">
        <v>34</v>
      </c>
      <c r="E26" s="5" t="s">
        <v>26</v>
      </c>
      <c r="F26" s="5" t="s">
        <v>57</v>
      </c>
      <c r="G26" s="5">
        <v>7.86</v>
      </c>
      <c r="H26" s="5">
        <v>2.97</v>
      </c>
      <c r="I26" s="5">
        <v>0</v>
      </c>
      <c r="J26" s="5">
        <v>10.83</v>
      </c>
      <c r="K26" s="5">
        <v>1790</v>
      </c>
      <c r="L26" s="5" t="s">
        <v>124</v>
      </c>
      <c r="M26" s="5" t="s">
        <v>58</v>
      </c>
      <c r="N26" s="5">
        <v>12</v>
      </c>
      <c r="O26" s="5">
        <v>135.4</v>
      </c>
      <c r="P26" s="5">
        <v>0.27400000000000002</v>
      </c>
      <c r="Q26" s="5" t="s">
        <v>122</v>
      </c>
    </row>
    <row r="27" spans="1:17">
      <c r="A27" s="5" t="s">
        <v>31</v>
      </c>
      <c r="B27" s="5" t="s">
        <v>32</v>
      </c>
      <c r="C27" s="5" t="s">
        <v>33</v>
      </c>
      <c r="D27" s="5" t="s">
        <v>34</v>
      </c>
      <c r="E27" s="5" t="s">
        <v>26</v>
      </c>
      <c r="F27" s="5" t="s">
        <v>59</v>
      </c>
      <c r="G27" s="5">
        <v>7.14</v>
      </c>
      <c r="H27" s="5">
        <v>2.91</v>
      </c>
      <c r="I27" s="5">
        <v>0</v>
      </c>
      <c r="J27" s="5">
        <v>10.050000000000001</v>
      </c>
      <c r="K27" s="5">
        <v>1641</v>
      </c>
      <c r="L27" s="5" t="s">
        <v>124</v>
      </c>
      <c r="M27" s="5" t="s">
        <v>58</v>
      </c>
      <c r="N27" s="5">
        <v>12</v>
      </c>
      <c r="O27" s="5">
        <v>125.7</v>
      </c>
      <c r="P27" s="5">
        <v>0.28999999999999998</v>
      </c>
      <c r="Q27" s="5" t="s">
        <v>122</v>
      </c>
    </row>
    <row r="28" spans="1:17">
      <c r="A28" s="5" t="s">
        <v>31</v>
      </c>
      <c r="B28" s="5" t="s">
        <v>32</v>
      </c>
      <c r="C28" s="5" t="s">
        <v>33</v>
      </c>
      <c r="D28" s="5" t="s">
        <v>34</v>
      </c>
      <c r="E28" s="5" t="s">
        <v>26</v>
      </c>
      <c r="F28" s="5" t="s">
        <v>60</v>
      </c>
      <c r="G28" s="5">
        <v>7.72</v>
      </c>
      <c r="H28" s="5">
        <v>2.58</v>
      </c>
      <c r="I28" s="5">
        <v>0</v>
      </c>
      <c r="J28" s="5">
        <v>10.3</v>
      </c>
      <c r="K28" s="5">
        <v>1847</v>
      </c>
      <c r="L28" s="5" t="s">
        <v>124</v>
      </c>
      <c r="M28" s="5" t="s">
        <v>58</v>
      </c>
      <c r="N28" s="5">
        <v>12</v>
      </c>
      <c r="O28" s="5">
        <v>128.80000000000001</v>
      </c>
      <c r="P28" s="5">
        <v>0.251</v>
      </c>
      <c r="Q28" s="5" t="s">
        <v>122</v>
      </c>
    </row>
    <row r="29" spans="1:17">
      <c r="A29" s="5" t="s">
        <v>31</v>
      </c>
      <c r="B29" s="5" t="s">
        <v>32</v>
      </c>
      <c r="C29" s="5" t="s">
        <v>33</v>
      </c>
      <c r="D29" s="5" t="s">
        <v>34</v>
      </c>
      <c r="E29" s="5" t="s">
        <v>26</v>
      </c>
      <c r="F29" s="5" t="s">
        <v>61</v>
      </c>
      <c r="G29" s="5">
        <v>7.51</v>
      </c>
      <c r="H29" s="5">
        <v>2.83</v>
      </c>
      <c r="I29" s="5">
        <v>0</v>
      </c>
      <c r="J29" s="5">
        <v>10.34</v>
      </c>
      <c r="K29" s="5">
        <v>1645</v>
      </c>
      <c r="L29" s="5" t="s">
        <v>124</v>
      </c>
      <c r="M29" s="5" t="s">
        <v>58</v>
      </c>
      <c r="N29" s="5">
        <v>12</v>
      </c>
      <c r="O29" s="5">
        <v>129.30000000000001</v>
      </c>
      <c r="P29" s="5">
        <v>0.27400000000000002</v>
      </c>
      <c r="Q29" s="5" t="s">
        <v>122</v>
      </c>
    </row>
    <row r="30" spans="1:17">
      <c r="A30" s="5" t="s">
        <v>31</v>
      </c>
      <c r="B30" s="5" t="s">
        <v>32</v>
      </c>
      <c r="C30" s="5" t="s">
        <v>33</v>
      </c>
      <c r="D30" s="5" t="s">
        <v>34</v>
      </c>
      <c r="E30" s="5" t="s">
        <v>26</v>
      </c>
      <c r="F30" s="5" t="s">
        <v>66</v>
      </c>
      <c r="G30" s="5">
        <v>8.32</v>
      </c>
      <c r="H30" s="5">
        <v>3.06</v>
      </c>
      <c r="I30" s="5">
        <v>0</v>
      </c>
      <c r="J30" s="5">
        <v>11.38</v>
      </c>
      <c r="K30" s="5">
        <v>1891</v>
      </c>
      <c r="L30" s="5" t="s">
        <v>124</v>
      </c>
      <c r="M30" s="5" t="s">
        <v>58</v>
      </c>
      <c r="N30" s="5">
        <v>12</v>
      </c>
      <c r="O30" s="5">
        <v>142.19999999999999</v>
      </c>
      <c r="P30" s="5">
        <v>0.26900000000000002</v>
      </c>
      <c r="Q30" s="5" t="s">
        <v>122</v>
      </c>
    </row>
    <row r="31" spans="1:17">
      <c r="A31" s="5" t="s">
        <v>31</v>
      </c>
      <c r="B31" s="5" t="s">
        <v>32</v>
      </c>
      <c r="C31" s="5" t="s">
        <v>33</v>
      </c>
      <c r="D31" s="5" t="s">
        <v>34</v>
      </c>
      <c r="E31" s="5" t="s">
        <v>26</v>
      </c>
      <c r="F31" s="5" t="s">
        <v>67</v>
      </c>
      <c r="G31" s="5">
        <v>8.39</v>
      </c>
      <c r="H31" s="5">
        <v>2.92</v>
      </c>
      <c r="I31" s="5">
        <v>0</v>
      </c>
      <c r="J31" s="5">
        <v>11.3</v>
      </c>
      <c r="K31" s="5">
        <v>2008</v>
      </c>
      <c r="L31" s="5" t="s">
        <v>124</v>
      </c>
      <c r="M31" s="5" t="s">
        <v>58</v>
      </c>
      <c r="N31" s="5">
        <v>12</v>
      </c>
      <c r="O31" s="5">
        <v>141.30000000000001</v>
      </c>
      <c r="P31" s="5">
        <v>0.25800000000000001</v>
      </c>
      <c r="Q31" s="5" t="s">
        <v>122</v>
      </c>
    </row>
    <row r="32" spans="1:17">
      <c r="A32" s="5" t="s">
        <v>31</v>
      </c>
      <c r="B32" s="5" t="s">
        <v>32</v>
      </c>
      <c r="C32" s="5" t="s">
        <v>33</v>
      </c>
      <c r="D32" s="5" t="s">
        <v>34</v>
      </c>
      <c r="E32" s="5" t="s">
        <v>26</v>
      </c>
      <c r="F32" s="5" t="s">
        <v>68</v>
      </c>
      <c r="G32" s="5">
        <v>8.3800000000000008</v>
      </c>
      <c r="H32" s="5">
        <v>3.32</v>
      </c>
      <c r="I32" s="5">
        <v>0</v>
      </c>
      <c r="J32" s="5">
        <v>11.7</v>
      </c>
      <c r="K32" s="5">
        <v>1779</v>
      </c>
      <c r="L32" s="5" t="s">
        <v>124</v>
      </c>
      <c r="M32" s="5" t="s">
        <v>58</v>
      </c>
      <c r="N32" s="5">
        <v>12</v>
      </c>
      <c r="O32" s="5">
        <v>146.19999999999999</v>
      </c>
      <c r="P32" s="5">
        <v>0.28299999999999997</v>
      </c>
      <c r="Q32" s="5" t="s">
        <v>122</v>
      </c>
    </row>
    <row r="33" spans="1:17">
      <c r="A33" s="5" t="s">
        <v>31</v>
      </c>
      <c r="B33" s="5" t="s">
        <v>32</v>
      </c>
      <c r="C33" s="5" t="s">
        <v>33</v>
      </c>
      <c r="D33" s="5" t="s">
        <v>34</v>
      </c>
      <c r="E33" s="5" t="s">
        <v>26</v>
      </c>
      <c r="F33" s="5" t="s">
        <v>69</v>
      </c>
      <c r="G33" s="5">
        <v>8.16</v>
      </c>
      <c r="H33" s="5">
        <v>3.32</v>
      </c>
      <c r="I33" s="5">
        <v>0</v>
      </c>
      <c r="J33" s="5">
        <v>11.48</v>
      </c>
      <c r="K33" s="5">
        <v>1891</v>
      </c>
      <c r="L33" s="5" t="s">
        <v>124</v>
      </c>
      <c r="M33" s="5" t="s">
        <v>58</v>
      </c>
      <c r="N33" s="5">
        <v>12</v>
      </c>
      <c r="O33" s="5">
        <v>143.5</v>
      </c>
      <c r="P33" s="5">
        <v>0.28899999999999998</v>
      </c>
      <c r="Q33" s="5" t="s">
        <v>122</v>
      </c>
    </row>
    <row r="34" spans="1:17">
      <c r="A34" s="5" t="s">
        <v>31</v>
      </c>
      <c r="B34" s="5" t="s">
        <v>32</v>
      </c>
      <c r="C34" s="5" t="s">
        <v>33</v>
      </c>
      <c r="D34" s="5" t="s">
        <v>34</v>
      </c>
      <c r="E34" s="5" t="s">
        <v>26</v>
      </c>
      <c r="F34" s="5" t="s">
        <v>70</v>
      </c>
      <c r="G34" s="5">
        <v>7.46</v>
      </c>
      <c r="H34" s="5">
        <v>2.9</v>
      </c>
      <c r="I34" s="5">
        <v>0</v>
      </c>
      <c r="J34" s="5">
        <v>10.35</v>
      </c>
      <c r="K34" s="5">
        <v>1639</v>
      </c>
      <c r="L34" s="5" t="s">
        <v>124</v>
      </c>
      <c r="M34" s="5" t="s">
        <v>58</v>
      </c>
      <c r="N34" s="5">
        <v>12</v>
      </c>
      <c r="O34" s="5">
        <v>129.4</v>
      </c>
      <c r="P34" s="5">
        <v>0.28000000000000003</v>
      </c>
      <c r="Q34" s="5" t="s">
        <v>122</v>
      </c>
    </row>
    <row r="35" spans="1:17">
      <c r="A35" s="5" t="s">
        <v>31</v>
      </c>
      <c r="B35" s="5" t="s">
        <v>32</v>
      </c>
      <c r="C35" s="5" t="s">
        <v>33</v>
      </c>
      <c r="D35" s="5" t="s">
        <v>34</v>
      </c>
      <c r="E35" s="5" t="s">
        <v>26</v>
      </c>
      <c r="F35" s="5" t="s">
        <v>71</v>
      </c>
      <c r="G35" s="5">
        <v>7.67</v>
      </c>
      <c r="H35" s="5">
        <v>2.83</v>
      </c>
      <c r="I35" s="5">
        <v>0</v>
      </c>
      <c r="J35" s="5">
        <v>10.49</v>
      </c>
      <c r="K35" s="5">
        <v>1874</v>
      </c>
      <c r="L35" s="5" t="s">
        <v>124</v>
      </c>
      <c r="M35" s="5" t="s">
        <v>58</v>
      </c>
      <c r="N35" s="5">
        <v>12</v>
      </c>
      <c r="O35" s="5">
        <v>131.1</v>
      </c>
      <c r="P35" s="5">
        <v>0.26900000000000002</v>
      </c>
      <c r="Q35" s="5" t="s">
        <v>122</v>
      </c>
    </row>
    <row r="36" spans="1:17">
      <c r="A36" s="5" t="s">
        <v>31</v>
      </c>
      <c r="B36" s="5" t="s">
        <v>32</v>
      </c>
      <c r="C36" s="5" t="s">
        <v>33</v>
      </c>
      <c r="D36" s="5" t="s">
        <v>34</v>
      </c>
      <c r="E36" s="5" t="s">
        <v>26</v>
      </c>
      <c r="F36" s="5" t="s">
        <v>72</v>
      </c>
      <c r="G36" s="5">
        <v>8.1199999999999992</v>
      </c>
      <c r="H36" s="5">
        <v>2.74</v>
      </c>
      <c r="I36" s="5">
        <v>0</v>
      </c>
      <c r="J36" s="5">
        <v>10.87</v>
      </c>
      <c r="K36" s="5">
        <v>1884</v>
      </c>
      <c r="L36" s="5" t="s">
        <v>124</v>
      </c>
      <c r="M36" s="5" t="s">
        <v>112</v>
      </c>
      <c r="N36" s="5">
        <v>12</v>
      </c>
      <c r="O36" s="5">
        <v>135.80000000000001</v>
      </c>
      <c r="P36" s="5">
        <v>0.252</v>
      </c>
      <c r="Q36" s="5" t="s">
        <v>122</v>
      </c>
    </row>
    <row r="37" spans="1:17">
      <c r="A37" s="5" t="s">
        <v>31</v>
      </c>
      <c r="B37" s="5" t="s">
        <v>32</v>
      </c>
      <c r="C37" s="5" t="s">
        <v>33</v>
      </c>
      <c r="D37" s="5" t="s">
        <v>34</v>
      </c>
      <c r="E37" s="5" t="s">
        <v>26</v>
      </c>
      <c r="F37" s="5" t="s">
        <v>73</v>
      </c>
      <c r="G37" s="5">
        <v>8.5299999999999994</v>
      </c>
      <c r="H37" s="5">
        <v>2.96</v>
      </c>
      <c r="I37" s="5">
        <v>0</v>
      </c>
      <c r="J37" s="5">
        <v>11.49</v>
      </c>
      <c r="K37" s="5">
        <v>1945</v>
      </c>
      <c r="L37" s="5" t="s">
        <v>124</v>
      </c>
      <c r="M37" s="5" t="s">
        <v>112</v>
      </c>
      <c r="N37" s="5">
        <v>12</v>
      </c>
      <c r="O37" s="5">
        <v>143.6</v>
      </c>
      <c r="P37" s="5">
        <v>0.25700000000000001</v>
      </c>
      <c r="Q37" s="5" t="s">
        <v>122</v>
      </c>
    </row>
    <row r="38" spans="1:17">
      <c r="A38" s="5" t="s">
        <v>35</v>
      </c>
      <c r="B38" s="5" t="s">
        <v>36</v>
      </c>
      <c r="C38" s="5" t="s">
        <v>37</v>
      </c>
      <c r="D38" s="5" t="s">
        <v>38</v>
      </c>
      <c r="E38" s="5" t="s">
        <v>26</v>
      </c>
      <c r="F38" s="5" t="s">
        <v>57</v>
      </c>
      <c r="G38" s="5">
        <v>7.02</v>
      </c>
      <c r="H38" s="5">
        <v>1.83</v>
      </c>
      <c r="I38" s="5">
        <v>0</v>
      </c>
      <c r="J38" s="5">
        <v>8.86</v>
      </c>
      <c r="K38" s="5">
        <v>1526</v>
      </c>
      <c r="L38" s="5" t="s">
        <v>125</v>
      </c>
      <c r="M38" s="5" t="s">
        <v>58</v>
      </c>
      <c r="N38" s="5">
        <v>9</v>
      </c>
      <c r="O38" s="5">
        <v>136.30000000000001</v>
      </c>
      <c r="P38" s="5">
        <v>0.20699999999999999</v>
      </c>
      <c r="Q38" s="5" t="s">
        <v>122</v>
      </c>
    </row>
    <row r="39" spans="1:17">
      <c r="A39" s="5" t="s">
        <v>35</v>
      </c>
      <c r="B39" s="5" t="s">
        <v>36</v>
      </c>
      <c r="C39" s="5" t="s">
        <v>37</v>
      </c>
      <c r="D39" s="5" t="s">
        <v>38</v>
      </c>
      <c r="E39" s="5" t="s">
        <v>26</v>
      </c>
      <c r="F39" s="5" t="s">
        <v>59</v>
      </c>
      <c r="G39" s="5">
        <v>6.48</v>
      </c>
      <c r="H39" s="5">
        <v>1.69</v>
      </c>
      <c r="I39" s="5">
        <v>0</v>
      </c>
      <c r="J39" s="5">
        <v>8.17</v>
      </c>
      <c r="K39" s="5">
        <v>1444</v>
      </c>
      <c r="L39" s="5" t="s">
        <v>125</v>
      </c>
      <c r="M39" s="5" t="s">
        <v>58</v>
      </c>
      <c r="N39" s="5">
        <v>9</v>
      </c>
      <c r="O39" s="5">
        <v>125.7</v>
      </c>
      <c r="P39" s="5">
        <v>0.20699999999999999</v>
      </c>
      <c r="Q39" s="5" t="s">
        <v>122</v>
      </c>
    </row>
    <row r="40" spans="1:17">
      <c r="A40" s="5" t="s">
        <v>35</v>
      </c>
      <c r="B40" s="5" t="s">
        <v>36</v>
      </c>
      <c r="C40" s="5" t="s">
        <v>37</v>
      </c>
      <c r="D40" s="5" t="s">
        <v>38</v>
      </c>
      <c r="E40" s="5" t="s">
        <v>26</v>
      </c>
      <c r="F40" s="5" t="s">
        <v>60</v>
      </c>
      <c r="G40" s="5">
        <v>6.33</v>
      </c>
      <c r="H40" s="5">
        <v>2.0099999999999998</v>
      </c>
      <c r="I40" s="5">
        <v>0</v>
      </c>
      <c r="J40" s="5">
        <v>8.34</v>
      </c>
      <c r="K40" s="5">
        <v>1336</v>
      </c>
      <c r="L40" s="5" t="s">
        <v>125</v>
      </c>
      <c r="M40" s="5" t="s">
        <v>58</v>
      </c>
      <c r="N40" s="5">
        <v>9</v>
      </c>
      <c r="O40" s="5">
        <v>128.30000000000001</v>
      </c>
      <c r="P40" s="5">
        <v>0.24099999999999999</v>
      </c>
      <c r="Q40" s="5" t="s">
        <v>122</v>
      </c>
    </row>
    <row r="41" spans="1:17">
      <c r="A41" s="5" t="s">
        <v>35</v>
      </c>
      <c r="B41" s="5" t="s">
        <v>36</v>
      </c>
      <c r="C41" s="5" t="s">
        <v>37</v>
      </c>
      <c r="D41" s="5" t="s">
        <v>38</v>
      </c>
      <c r="E41" s="5" t="s">
        <v>26</v>
      </c>
      <c r="F41" s="5" t="s">
        <v>61</v>
      </c>
      <c r="G41" s="5">
        <v>6.56</v>
      </c>
      <c r="H41" s="5">
        <v>1.95</v>
      </c>
      <c r="I41" s="5">
        <v>0</v>
      </c>
      <c r="J41" s="5">
        <v>8.52</v>
      </c>
      <c r="K41" s="5">
        <v>1371</v>
      </c>
      <c r="L41" s="5" t="s">
        <v>125</v>
      </c>
      <c r="M41" s="5" t="s">
        <v>58</v>
      </c>
      <c r="N41" s="5">
        <v>9</v>
      </c>
      <c r="O41" s="5">
        <v>131</v>
      </c>
      <c r="P41" s="5">
        <v>0.22900000000000001</v>
      </c>
      <c r="Q41" s="5" t="s">
        <v>122</v>
      </c>
    </row>
    <row r="42" spans="1:17">
      <c r="A42" s="5" t="s">
        <v>35</v>
      </c>
      <c r="B42" s="5" t="s">
        <v>36</v>
      </c>
      <c r="C42" s="5" t="s">
        <v>37</v>
      </c>
      <c r="D42" s="5" t="s">
        <v>38</v>
      </c>
      <c r="E42" s="5" t="s">
        <v>26</v>
      </c>
      <c r="F42" s="5" t="s">
        <v>66</v>
      </c>
      <c r="G42" s="5">
        <v>7.4</v>
      </c>
      <c r="H42" s="5">
        <v>2.14</v>
      </c>
      <c r="I42" s="5">
        <v>0</v>
      </c>
      <c r="J42" s="5">
        <v>9.5399999999999991</v>
      </c>
      <c r="K42" s="5">
        <v>1671</v>
      </c>
      <c r="L42" s="5" t="s">
        <v>125</v>
      </c>
      <c r="M42" s="5" t="s">
        <v>58</v>
      </c>
      <c r="N42" s="5">
        <v>9</v>
      </c>
      <c r="O42" s="5">
        <v>146.80000000000001</v>
      </c>
      <c r="P42" s="5">
        <v>0.224</v>
      </c>
      <c r="Q42" s="5" t="s">
        <v>122</v>
      </c>
    </row>
    <row r="43" spans="1:17">
      <c r="A43" s="5" t="s">
        <v>35</v>
      </c>
      <c r="B43" s="5" t="s">
        <v>36</v>
      </c>
      <c r="C43" s="5" t="s">
        <v>37</v>
      </c>
      <c r="D43" s="5" t="s">
        <v>38</v>
      </c>
      <c r="E43" s="5" t="s">
        <v>26</v>
      </c>
      <c r="F43" s="5" t="s">
        <v>67</v>
      </c>
      <c r="G43" s="5">
        <v>7.93</v>
      </c>
      <c r="H43" s="5">
        <v>2.0499999999999998</v>
      </c>
      <c r="I43" s="5">
        <v>0</v>
      </c>
      <c r="J43" s="5">
        <v>9.98</v>
      </c>
      <c r="K43" s="5">
        <v>1633</v>
      </c>
      <c r="L43" s="5" t="s">
        <v>125</v>
      </c>
      <c r="M43" s="5" t="s">
        <v>58</v>
      </c>
      <c r="N43" s="5">
        <v>9</v>
      </c>
      <c r="O43" s="5">
        <v>153.6</v>
      </c>
      <c r="P43" s="5">
        <v>0.20499999999999999</v>
      </c>
      <c r="Q43" s="5" t="s">
        <v>122</v>
      </c>
    </row>
    <row r="44" spans="1:17">
      <c r="A44" s="5" t="s">
        <v>35</v>
      </c>
      <c r="B44" s="5" t="s">
        <v>36</v>
      </c>
      <c r="C44" s="5" t="s">
        <v>37</v>
      </c>
      <c r="D44" s="5" t="s">
        <v>38</v>
      </c>
      <c r="E44" s="5" t="s">
        <v>26</v>
      </c>
      <c r="F44" s="5" t="s">
        <v>68</v>
      </c>
      <c r="G44" s="5">
        <v>7.29</v>
      </c>
      <c r="H44" s="5">
        <v>2.0499999999999998</v>
      </c>
      <c r="I44" s="5">
        <v>0</v>
      </c>
      <c r="J44" s="5">
        <v>9.34</v>
      </c>
      <c r="K44" s="5">
        <v>1613</v>
      </c>
      <c r="L44" s="5" t="s">
        <v>125</v>
      </c>
      <c r="M44" s="5" t="s">
        <v>58</v>
      </c>
      <c r="N44" s="5">
        <v>9</v>
      </c>
      <c r="O44" s="5">
        <v>143.69999999999999</v>
      </c>
      <c r="P44" s="5">
        <v>0.219</v>
      </c>
      <c r="Q44" s="5" t="s">
        <v>122</v>
      </c>
    </row>
    <row r="45" spans="1:17">
      <c r="A45" s="5" t="s">
        <v>35</v>
      </c>
      <c r="B45" s="5" t="s">
        <v>36</v>
      </c>
      <c r="C45" s="5" t="s">
        <v>37</v>
      </c>
      <c r="D45" s="5" t="s">
        <v>38</v>
      </c>
      <c r="E45" s="5" t="s">
        <v>26</v>
      </c>
      <c r="F45" s="5" t="s">
        <v>69</v>
      </c>
      <c r="G45" s="5">
        <v>7.65</v>
      </c>
      <c r="H45" s="5">
        <v>1.92</v>
      </c>
      <c r="I45" s="5">
        <v>0</v>
      </c>
      <c r="J45" s="5">
        <v>9.58</v>
      </c>
      <c r="K45" s="5">
        <v>1556</v>
      </c>
      <c r="L45" s="5" t="s">
        <v>125</v>
      </c>
      <c r="M45" s="5" t="s">
        <v>58</v>
      </c>
      <c r="N45" s="5">
        <v>9</v>
      </c>
      <c r="O45" s="5">
        <v>147.4</v>
      </c>
      <c r="P45" s="5">
        <v>0.20100000000000001</v>
      </c>
      <c r="Q45" s="5" t="s">
        <v>122</v>
      </c>
    </row>
    <row r="46" spans="1:17">
      <c r="A46" s="5" t="s">
        <v>35</v>
      </c>
      <c r="B46" s="5" t="s">
        <v>36</v>
      </c>
      <c r="C46" s="5" t="s">
        <v>37</v>
      </c>
      <c r="D46" s="5" t="s">
        <v>38</v>
      </c>
      <c r="E46" s="5" t="s">
        <v>26</v>
      </c>
      <c r="F46" s="5" t="s">
        <v>70</v>
      </c>
      <c r="G46" s="5">
        <v>7.23</v>
      </c>
      <c r="H46" s="5">
        <v>1.9</v>
      </c>
      <c r="I46" s="5">
        <v>0</v>
      </c>
      <c r="J46" s="5">
        <v>9.1300000000000008</v>
      </c>
      <c r="K46" s="5">
        <v>1527</v>
      </c>
      <c r="L46" s="5" t="s">
        <v>125</v>
      </c>
      <c r="M46" s="5" t="s">
        <v>58</v>
      </c>
      <c r="N46" s="5">
        <v>9</v>
      </c>
      <c r="O46" s="5">
        <v>140.5</v>
      </c>
      <c r="P46" s="5">
        <v>0.20799999999999999</v>
      </c>
      <c r="Q46" s="5" t="s">
        <v>122</v>
      </c>
    </row>
    <row r="47" spans="1:17">
      <c r="A47" s="5" t="s">
        <v>35</v>
      </c>
      <c r="B47" s="5" t="s">
        <v>36</v>
      </c>
      <c r="C47" s="5" t="s">
        <v>37</v>
      </c>
      <c r="D47" s="5" t="s">
        <v>38</v>
      </c>
      <c r="E47" s="5" t="s">
        <v>26</v>
      </c>
      <c r="F47" s="5" t="s">
        <v>71</v>
      </c>
      <c r="G47" s="5">
        <v>6.83</v>
      </c>
      <c r="H47" s="5">
        <v>1.81</v>
      </c>
      <c r="I47" s="5">
        <v>0</v>
      </c>
      <c r="J47" s="5">
        <v>8.64</v>
      </c>
      <c r="K47" s="5">
        <v>1579</v>
      </c>
      <c r="L47" s="5" t="s">
        <v>125</v>
      </c>
      <c r="M47" s="5" t="s">
        <v>112</v>
      </c>
      <c r="N47" s="5">
        <v>9</v>
      </c>
      <c r="O47" s="5">
        <v>133</v>
      </c>
      <c r="P47" s="5">
        <v>0.21</v>
      </c>
      <c r="Q47" s="5" t="s">
        <v>122</v>
      </c>
    </row>
    <row r="48" spans="1:17">
      <c r="A48" s="5" t="s">
        <v>35</v>
      </c>
      <c r="B48" s="5" t="s">
        <v>36</v>
      </c>
      <c r="C48" s="5" t="s">
        <v>37</v>
      </c>
      <c r="D48" s="5" t="s">
        <v>38</v>
      </c>
      <c r="E48" s="5" t="s">
        <v>26</v>
      </c>
      <c r="F48" s="5" t="s">
        <v>72</v>
      </c>
      <c r="G48" s="5">
        <v>6.85</v>
      </c>
      <c r="H48" s="5">
        <v>2.15</v>
      </c>
      <c r="I48" s="5">
        <v>0</v>
      </c>
      <c r="J48" s="5">
        <v>9.01</v>
      </c>
      <c r="K48" s="5">
        <v>1410</v>
      </c>
      <c r="L48" s="5" t="s">
        <v>125</v>
      </c>
      <c r="M48" s="5" t="s">
        <v>112</v>
      </c>
      <c r="N48" s="5">
        <v>9</v>
      </c>
      <c r="O48" s="5">
        <v>138.5</v>
      </c>
      <c r="P48" s="5">
        <v>0.23899999999999999</v>
      </c>
      <c r="Q48" s="5" t="s">
        <v>122</v>
      </c>
    </row>
    <row r="49" spans="1:17">
      <c r="A49" s="5" t="s">
        <v>35</v>
      </c>
      <c r="B49" s="5" t="s">
        <v>36</v>
      </c>
      <c r="C49" s="5" t="s">
        <v>37</v>
      </c>
      <c r="D49" s="5" t="s">
        <v>38</v>
      </c>
      <c r="E49" s="5" t="s">
        <v>26</v>
      </c>
      <c r="F49" s="5" t="s">
        <v>73</v>
      </c>
      <c r="G49" s="5">
        <v>7.72</v>
      </c>
      <c r="H49" s="5">
        <v>2.41</v>
      </c>
      <c r="I49" s="5">
        <v>0</v>
      </c>
      <c r="J49" s="5">
        <v>10.130000000000001</v>
      </c>
      <c r="K49" s="5">
        <v>1793</v>
      </c>
      <c r="L49" s="5" t="s">
        <v>125</v>
      </c>
      <c r="M49" s="5" t="s">
        <v>112</v>
      </c>
      <c r="N49" s="5">
        <v>9</v>
      </c>
      <c r="O49" s="5">
        <v>155.9</v>
      </c>
      <c r="P49" s="5">
        <v>0.23799999999999999</v>
      </c>
      <c r="Q49" s="5" t="s">
        <v>122</v>
      </c>
    </row>
    <row r="50" spans="1:17">
      <c r="A50" s="5" t="s">
        <v>39</v>
      </c>
      <c r="B50" s="5" t="s">
        <v>40</v>
      </c>
      <c r="C50" s="5" t="s">
        <v>41</v>
      </c>
      <c r="D50" s="5" t="s">
        <v>41</v>
      </c>
      <c r="E50" s="5" t="s">
        <v>26</v>
      </c>
      <c r="F50" s="5" t="s">
        <v>57</v>
      </c>
      <c r="G50" s="5">
        <v>5.12</v>
      </c>
      <c r="H50" s="5">
        <v>1.86</v>
      </c>
      <c r="I50" s="5">
        <v>0.12</v>
      </c>
      <c r="J50" s="5">
        <v>7.09</v>
      </c>
      <c r="K50" s="5">
        <v>1209</v>
      </c>
      <c r="L50" s="5" t="s">
        <v>123</v>
      </c>
      <c r="M50" s="5" t="s">
        <v>58</v>
      </c>
      <c r="N50" s="5">
        <v>12</v>
      </c>
      <c r="O50" s="5">
        <v>135</v>
      </c>
      <c r="P50" s="5">
        <v>0.27800000000000002</v>
      </c>
      <c r="Q50" s="5" t="s">
        <v>122</v>
      </c>
    </row>
    <row r="51" spans="1:17">
      <c r="A51" s="5" t="s">
        <v>39</v>
      </c>
      <c r="B51" s="5" t="s">
        <v>40</v>
      </c>
      <c r="C51" s="5" t="s">
        <v>41</v>
      </c>
      <c r="D51" s="5" t="s">
        <v>41</v>
      </c>
      <c r="E51" s="5" t="s">
        <v>26</v>
      </c>
      <c r="F51" s="5" t="s">
        <v>59</v>
      </c>
      <c r="G51" s="5">
        <v>5.0199999999999996</v>
      </c>
      <c r="H51" s="5">
        <v>1.69</v>
      </c>
      <c r="I51" s="5">
        <v>0.18</v>
      </c>
      <c r="J51" s="5">
        <v>6.89</v>
      </c>
      <c r="K51" s="5">
        <v>1198</v>
      </c>
      <c r="L51" s="5" t="s">
        <v>123</v>
      </c>
      <c r="M51" s="5" t="s">
        <v>58</v>
      </c>
      <c r="N51" s="5">
        <v>12</v>
      </c>
      <c r="O51" s="5">
        <v>131.30000000000001</v>
      </c>
      <c r="P51" s="5">
        <v>0.27200000000000002</v>
      </c>
      <c r="Q51" s="5" t="s">
        <v>122</v>
      </c>
    </row>
    <row r="52" spans="1:17">
      <c r="A52" s="5" t="s">
        <v>39</v>
      </c>
      <c r="B52" s="5" t="s">
        <v>40</v>
      </c>
      <c r="C52" s="5" t="s">
        <v>41</v>
      </c>
      <c r="D52" s="5" t="s">
        <v>41</v>
      </c>
      <c r="E52" s="5" t="s">
        <v>26</v>
      </c>
      <c r="F52" s="5" t="s">
        <v>60</v>
      </c>
      <c r="G52" s="5">
        <v>4.67</v>
      </c>
      <c r="H52" s="5">
        <v>1.87</v>
      </c>
      <c r="I52" s="5">
        <v>0.19</v>
      </c>
      <c r="J52" s="5">
        <v>6.73</v>
      </c>
      <c r="K52" s="5">
        <v>1196</v>
      </c>
      <c r="L52" s="5" t="s">
        <v>123</v>
      </c>
      <c r="M52" s="5" t="s">
        <v>58</v>
      </c>
      <c r="N52" s="5">
        <v>12</v>
      </c>
      <c r="O52" s="5">
        <v>128.19999999999999</v>
      </c>
      <c r="P52" s="5">
        <v>0.30599999999999999</v>
      </c>
      <c r="Q52" s="5" t="s">
        <v>122</v>
      </c>
    </row>
    <row r="53" spans="1:17">
      <c r="A53" s="5" t="s">
        <v>39</v>
      </c>
      <c r="B53" s="5" t="s">
        <v>40</v>
      </c>
      <c r="C53" s="5" t="s">
        <v>41</v>
      </c>
      <c r="D53" s="5" t="s">
        <v>41</v>
      </c>
      <c r="E53" s="5" t="s">
        <v>26</v>
      </c>
      <c r="F53" s="5" t="s">
        <v>61</v>
      </c>
      <c r="G53" s="5">
        <v>5.16</v>
      </c>
      <c r="H53" s="5">
        <v>1.73</v>
      </c>
      <c r="I53" s="5">
        <v>0.14000000000000001</v>
      </c>
      <c r="J53" s="5">
        <v>7.03</v>
      </c>
      <c r="K53" s="5">
        <v>1318</v>
      </c>
      <c r="L53" s="5" t="s">
        <v>123</v>
      </c>
      <c r="M53" s="5" t="s">
        <v>58</v>
      </c>
      <c r="N53" s="5">
        <v>12</v>
      </c>
      <c r="O53" s="5">
        <v>133.9</v>
      </c>
      <c r="P53" s="5">
        <v>0.26600000000000001</v>
      </c>
      <c r="Q53" s="5" t="s">
        <v>122</v>
      </c>
    </row>
    <row r="54" spans="1:17">
      <c r="A54" s="5" t="s">
        <v>39</v>
      </c>
      <c r="B54" s="5" t="s">
        <v>40</v>
      </c>
      <c r="C54" s="5" t="s">
        <v>41</v>
      </c>
      <c r="D54" s="5" t="s">
        <v>41</v>
      </c>
      <c r="E54" s="5" t="s">
        <v>26</v>
      </c>
      <c r="F54" s="5" t="s">
        <v>66</v>
      </c>
      <c r="G54" s="5">
        <v>5.27</v>
      </c>
      <c r="H54" s="5">
        <v>1.92</v>
      </c>
      <c r="I54" s="5">
        <v>0.19</v>
      </c>
      <c r="J54" s="5">
        <v>7.37</v>
      </c>
      <c r="K54" s="5">
        <v>1179</v>
      </c>
      <c r="L54" s="5" t="s">
        <v>123</v>
      </c>
      <c r="M54" s="5" t="s">
        <v>58</v>
      </c>
      <c r="N54" s="5">
        <v>12</v>
      </c>
      <c r="O54" s="5">
        <v>140.4</v>
      </c>
      <c r="P54" s="5">
        <v>0.28499999999999998</v>
      </c>
      <c r="Q54" s="5" t="s">
        <v>122</v>
      </c>
    </row>
    <row r="55" spans="1:17">
      <c r="A55" s="5" t="s">
        <v>39</v>
      </c>
      <c r="B55" s="5" t="s">
        <v>40</v>
      </c>
      <c r="C55" s="5" t="s">
        <v>41</v>
      </c>
      <c r="D55" s="5" t="s">
        <v>41</v>
      </c>
      <c r="E55" s="5" t="s">
        <v>26</v>
      </c>
      <c r="F55" s="5" t="s">
        <v>67</v>
      </c>
      <c r="G55" s="5">
        <v>5.58</v>
      </c>
      <c r="H55" s="5">
        <v>2</v>
      </c>
      <c r="I55" s="5">
        <v>0.21</v>
      </c>
      <c r="J55" s="5">
        <v>7.79</v>
      </c>
      <c r="K55" s="5">
        <v>1251</v>
      </c>
      <c r="L55" s="5" t="s">
        <v>123</v>
      </c>
      <c r="M55" s="5" t="s">
        <v>58</v>
      </c>
      <c r="N55" s="5">
        <v>12</v>
      </c>
      <c r="O55" s="5">
        <v>148.4</v>
      </c>
      <c r="P55" s="5">
        <v>0.28299999999999997</v>
      </c>
      <c r="Q55" s="5" t="s">
        <v>122</v>
      </c>
    </row>
    <row r="56" spans="1:17">
      <c r="A56" s="5" t="s">
        <v>39</v>
      </c>
      <c r="B56" s="5" t="s">
        <v>40</v>
      </c>
      <c r="C56" s="5" t="s">
        <v>41</v>
      </c>
      <c r="D56" s="5" t="s">
        <v>41</v>
      </c>
      <c r="E56" s="5" t="s">
        <v>26</v>
      </c>
      <c r="F56" s="5" t="s">
        <v>68</v>
      </c>
      <c r="G56" s="5">
        <v>5.71</v>
      </c>
      <c r="H56" s="5">
        <v>1.89</v>
      </c>
      <c r="I56" s="5">
        <v>0.14000000000000001</v>
      </c>
      <c r="J56" s="5">
        <v>7.74</v>
      </c>
      <c r="K56" s="5">
        <v>1340</v>
      </c>
      <c r="L56" s="5" t="s">
        <v>123</v>
      </c>
      <c r="M56" s="5" t="s">
        <v>58</v>
      </c>
      <c r="N56" s="5">
        <v>12</v>
      </c>
      <c r="O56" s="5">
        <v>147.4</v>
      </c>
      <c r="P56" s="5">
        <v>0.26200000000000001</v>
      </c>
      <c r="Q56" s="5" t="s">
        <v>122</v>
      </c>
    </row>
    <row r="57" spans="1:17">
      <c r="A57" s="5" t="s">
        <v>39</v>
      </c>
      <c r="B57" s="5" t="s">
        <v>40</v>
      </c>
      <c r="C57" s="5" t="s">
        <v>41</v>
      </c>
      <c r="D57" s="5" t="s">
        <v>41</v>
      </c>
      <c r="E57" s="5" t="s">
        <v>26</v>
      </c>
      <c r="F57" s="5" t="s">
        <v>69</v>
      </c>
      <c r="G57" s="5">
        <v>5.42</v>
      </c>
      <c r="H57" s="5">
        <v>1.88</v>
      </c>
      <c r="I57" s="5">
        <v>0.13</v>
      </c>
      <c r="J57" s="5">
        <v>7.43</v>
      </c>
      <c r="K57" s="5">
        <v>1359</v>
      </c>
      <c r="L57" s="5" t="s">
        <v>123</v>
      </c>
      <c r="M57" s="5" t="s">
        <v>58</v>
      </c>
      <c r="N57" s="5">
        <v>12</v>
      </c>
      <c r="O57" s="5">
        <v>141.5</v>
      </c>
      <c r="P57" s="5">
        <v>0.27</v>
      </c>
      <c r="Q57" s="5" t="s">
        <v>122</v>
      </c>
    </row>
    <row r="58" spans="1:17">
      <c r="A58" s="5" t="s">
        <v>39</v>
      </c>
      <c r="B58" s="5" t="s">
        <v>40</v>
      </c>
      <c r="C58" s="5" t="s">
        <v>41</v>
      </c>
      <c r="D58" s="5" t="s">
        <v>41</v>
      </c>
      <c r="E58" s="5" t="s">
        <v>26</v>
      </c>
      <c r="F58" s="5" t="s">
        <v>70</v>
      </c>
      <c r="G58" s="5">
        <v>4.92</v>
      </c>
      <c r="H58" s="5">
        <v>1.82</v>
      </c>
      <c r="I58" s="5">
        <v>0.16</v>
      </c>
      <c r="J58" s="5">
        <v>6.91</v>
      </c>
      <c r="K58" s="5">
        <v>1193</v>
      </c>
      <c r="L58" s="5" t="s">
        <v>123</v>
      </c>
      <c r="M58" s="5" t="s">
        <v>58</v>
      </c>
      <c r="N58" s="5">
        <v>12</v>
      </c>
      <c r="O58" s="5">
        <v>131.5</v>
      </c>
      <c r="P58" s="5">
        <v>0.28799999999999998</v>
      </c>
      <c r="Q58" s="5" t="s">
        <v>122</v>
      </c>
    </row>
    <row r="59" spans="1:17">
      <c r="A59" s="5" t="s">
        <v>39</v>
      </c>
      <c r="B59" s="5" t="s">
        <v>40</v>
      </c>
      <c r="C59" s="5" t="s">
        <v>41</v>
      </c>
      <c r="D59" s="5" t="s">
        <v>41</v>
      </c>
      <c r="E59" s="5" t="s">
        <v>26</v>
      </c>
      <c r="F59" s="5" t="s">
        <v>71</v>
      </c>
      <c r="G59" s="5">
        <v>4.9800000000000004</v>
      </c>
      <c r="H59" s="5">
        <v>1.78</v>
      </c>
      <c r="I59" s="5">
        <v>0.2</v>
      </c>
      <c r="J59" s="5">
        <v>6.96</v>
      </c>
      <c r="K59" s="5">
        <v>1158</v>
      </c>
      <c r="L59" s="5" t="s">
        <v>123</v>
      </c>
      <c r="M59" s="5" t="s">
        <v>58</v>
      </c>
      <c r="N59" s="5">
        <v>12</v>
      </c>
      <c r="O59" s="5">
        <v>132.5</v>
      </c>
      <c r="P59" s="5">
        <v>0.28399999999999997</v>
      </c>
      <c r="Q59" s="5" t="s">
        <v>122</v>
      </c>
    </row>
    <row r="60" spans="1:17">
      <c r="A60" s="5" t="s">
        <v>39</v>
      </c>
      <c r="B60" s="5" t="s">
        <v>40</v>
      </c>
      <c r="C60" s="5" t="s">
        <v>41</v>
      </c>
      <c r="D60" s="5" t="s">
        <v>41</v>
      </c>
      <c r="E60" s="5" t="s">
        <v>26</v>
      </c>
      <c r="F60" s="5" t="s">
        <v>72</v>
      </c>
      <c r="G60" s="5">
        <v>5.34</v>
      </c>
      <c r="H60" s="5">
        <v>1.82</v>
      </c>
      <c r="I60" s="5">
        <v>0.15</v>
      </c>
      <c r="J60" s="5">
        <v>7.31</v>
      </c>
      <c r="K60" s="5">
        <v>1298</v>
      </c>
      <c r="L60" s="5" t="s">
        <v>123</v>
      </c>
      <c r="M60" s="5" t="s">
        <v>112</v>
      </c>
      <c r="N60" s="5">
        <v>12</v>
      </c>
      <c r="O60" s="5">
        <v>139.30000000000001</v>
      </c>
      <c r="P60" s="5">
        <v>0.27</v>
      </c>
      <c r="Q60" s="5" t="s">
        <v>122</v>
      </c>
    </row>
    <row r="61" spans="1:17">
      <c r="A61" s="5" t="s">
        <v>39</v>
      </c>
      <c r="B61" s="5" t="s">
        <v>40</v>
      </c>
      <c r="C61" s="5" t="s">
        <v>41</v>
      </c>
      <c r="D61" s="5" t="s">
        <v>41</v>
      </c>
      <c r="E61" s="5" t="s">
        <v>26</v>
      </c>
      <c r="F61" s="5" t="s">
        <v>73</v>
      </c>
      <c r="G61" s="5">
        <v>5.53</v>
      </c>
      <c r="H61" s="5">
        <v>1.89</v>
      </c>
      <c r="I61" s="5">
        <v>0.2</v>
      </c>
      <c r="J61" s="5">
        <v>7.62</v>
      </c>
      <c r="K61" s="5">
        <v>1212</v>
      </c>
      <c r="L61" s="5" t="s">
        <v>123</v>
      </c>
      <c r="M61" s="5" t="s">
        <v>112</v>
      </c>
      <c r="N61" s="5">
        <v>12</v>
      </c>
      <c r="O61" s="5">
        <v>145.1</v>
      </c>
      <c r="P61" s="5">
        <v>0.27400000000000002</v>
      </c>
      <c r="Q61" s="5" t="s">
        <v>122</v>
      </c>
    </row>
    <row r="62" spans="1:17">
      <c r="A62" s="5" t="s">
        <v>42</v>
      </c>
      <c r="B62" s="5" t="s">
        <v>43</v>
      </c>
      <c r="C62" s="5" t="s">
        <v>44</v>
      </c>
      <c r="D62" s="5" t="s">
        <v>44</v>
      </c>
      <c r="E62" s="5" t="s">
        <v>26</v>
      </c>
      <c r="F62" s="5" t="s">
        <v>57</v>
      </c>
      <c r="G62" s="5">
        <v>12.69</v>
      </c>
      <c r="H62" s="5">
        <v>2.9</v>
      </c>
      <c r="I62" s="5">
        <v>0</v>
      </c>
      <c r="J62" s="5">
        <v>15.59</v>
      </c>
      <c r="K62" s="5">
        <v>2410</v>
      </c>
      <c r="L62" s="5" t="s">
        <v>126</v>
      </c>
      <c r="M62" s="5" t="s">
        <v>58</v>
      </c>
      <c r="N62" s="5">
        <v>12</v>
      </c>
      <c r="O62" s="5">
        <v>148.5</v>
      </c>
      <c r="P62" s="5">
        <v>0.186</v>
      </c>
      <c r="Q62" s="5" t="s">
        <v>122</v>
      </c>
    </row>
    <row r="63" spans="1:17">
      <c r="A63" s="5" t="s">
        <v>42</v>
      </c>
      <c r="B63" s="5" t="s">
        <v>43</v>
      </c>
      <c r="C63" s="5" t="s">
        <v>44</v>
      </c>
      <c r="D63" s="5" t="s">
        <v>44</v>
      </c>
      <c r="E63" s="5" t="s">
        <v>26</v>
      </c>
      <c r="F63" s="5" t="s">
        <v>59</v>
      </c>
      <c r="G63" s="5">
        <v>10.97</v>
      </c>
      <c r="H63" s="5">
        <v>3.21</v>
      </c>
      <c r="I63" s="5">
        <v>0</v>
      </c>
      <c r="J63" s="5">
        <v>14.18</v>
      </c>
      <c r="K63" s="5">
        <v>2276</v>
      </c>
      <c r="L63" s="5" t="s">
        <v>126</v>
      </c>
      <c r="M63" s="5" t="s">
        <v>58</v>
      </c>
      <c r="N63" s="5">
        <v>12</v>
      </c>
      <c r="O63" s="5">
        <v>135.1</v>
      </c>
      <c r="P63" s="5">
        <v>0.22600000000000001</v>
      </c>
      <c r="Q63" s="5" t="s">
        <v>122</v>
      </c>
    </row>
    <row r="64" spans="1:17">
      <c r="A64" s="5" t="s">
        <v>42</v>
      </c>
      <c r="B64" s="5" t="s">
        <v>43</v>
      </c>
      <c r="C64" s="5" t="s">
        <v>44</v>
      </c>
      <c r="D64" s="5" t="s">
        <v>44</v>
      </c>
      <c r="E64" s="5" t="s">
        <v>26</v>
      </c>
      <c r="F64" s="5" t="s">
        <v>60</v>
      </c>
      <c r="G64" s="5">
        <v>10.56</v>
      </c>
      <c r="H64" s="5">
        <v>3.05</v>
      </c>
      <c r="I64" s="5">
        <v>0</v>
      </c>
      <c r="J64" s="5">
        <v>13.61</v>
      </c>
      <c r="K64" s="5">
        <v>2294</v>
      </c>
      <c r="L64" s="5" t="s">
        <v>126</v>
      </c>
      <c r="M64" s="5" t="s">
        <v>58</v>
      </c>
      <c r="N64" s="5">
        <v>12</v>
      </c>
      <c r="O64" s="5">
        <v>129.6</v>
      </c>
      <c r="P64" s="5">
        <v>0.224</v>
      </c>
      <c r="Q64" s="5" t="s">
        <v>122</v>
      </c>
    </row>
    <row r="65" spans="1:17">
      <c r="A65" s="5" t="s">
        <v>42</v>
      </c>
      <c r="B65" s="5" t="s">
        <v>43</v>
      </c>
      <c r="C65" s="5" t="s">
        <v>44</v>
      </c>
      <c r="D65" s="5" t="s">
        <v>44</v>
      </c>
      <c r="E65" s="5" t="s">
        <v>26</v>
      </c>
      <c r="F65" s="5" t="s">
        <v>61</v>
      </c>
      <c r="G65" s="5">
        <v>11.65</v>
      </c>
      <c r="H65" s="5">
        <v>3.19</v>
      </c>
      <c r="I65" s="5">
        <v>0</v>
      </c>
      <c r="J65" s="5">
        <v>14.84</v>
      </c>
      <c r="K65" s="5">
        <v>2545</v>
      </c>
      <c r="L65" s="5" t="s">
        <v>126</v>
      </c>
      <c r="M65" s="5" t="s">
        <v>58</v>
      </c>
      <c r="N65" s="5">
        <v>12</v>
      </c>
      <c r="O65" s="5">
        <v>141.30000000000001</v>
      </c>
      <c r="P65" s="5">
        <v>0.215</v>
      </c>
      <c r="Q65" s="5" t="s">
        <v>122</v>
      </c>
    </row>
    <row r="66" spans="1:17">
      <c r="A66" s="5" t="s">
        <v>42</v>
      </c>
      <c r="B66" s="5" t="s">
        <v>43</v>
      </c>
      <c r="C66" s="5" t="s">
        <v>44</v>
      </c>
      <c r="D66" s="5" t="s">
        <v>44</v>
      </c>
      <c r="E66" s="5" t="s">
        <v>26</v>
      </c>
      <c r="F66" s="5" t="s">
        <v>66</v>
      </c>
      <c r="G66" s="5">
        <v>11.68</v>
      </c>
      <c r="H66" s="5">
        <v>3.21</v>
      </c>
      <c r="I66" s="5">
        <v>0</v>
      </c>
      <c r="J66" s="5">
        <v>14.89</v>
      </c>
      <c r="K66" s="5">
        <v>2269</v>
      </c>
      <c r="L66" s="5" t="s">
        <v>126</v>
      </c>
      <c r="M66" s="5" t="s">
        <v>58</v>
      </c>
      <c r="N66" s="5">
        <v>12</v>
      </c>
      <c r="O66" s="5">
        <v>141.9</v>
      </c>
      <c r="P66" s="5">
        <v>0.216</v>
      </c>
      <c r="Q66" s="5" t="s">
        <v>122</v>
      </c>
    </row>
    <row r="67" spans="1:17">
      <c r="A67" s="5" t="s">
        <v>42</v>
      </c>
      <c r="B67" s="5" t="s">
        <v>43</v>
      </c>
      <c r="C67" s="5" t="s">
        <v>44</v>
      </c>
      <c r="D67" s="5" t="s">
        <v>44</v>
      </c>
      <c r="E67" s="5" t="s">
        <v>26</v>
      </c>
      <c r="F67" s="5" t="s">
        <v>67</v>
      </c>
      <c r="G67" s="5">
        <v>12.59</v>
      </c>
      <c r="H67" s="5">
        <v>2.91</v>
      </c>
      <c r="I67" s="5">
        <v>0</v>
      </c>
      <c r="J67" s="5">
        <v>15.5</v>
      </c>
      <c r="K67" s="5">
        <v>2403</v>
      </c>
      <c r="L67" s="5" t="s">
        <v>126</v>
      </c>
      <c r="M67" s="5" t="s">
        <v>58</v>
      </c>
      <c r="N67" s="5">
        <v>12</v>
      </c>
      <c r="O67" s="5">
        <v>147.6</v>
      </c>
      <c r="P67" s="5">
        <v>0.188</v>
      </c>
      <c r="Q67" s="5" t="s">
        <v>122</v>
      </c>
    </row>
    <row r="68" spans="1:17">
      <c r="A68" s="5" t="s">
        <v>42</v>
      </c>
      <c r="B68" s="5" t="s">
        <v>43</v>
      </c>
      <c r="C68" s="5" t="s">
        <v>44</v>
      </c>
      <c r="D68" s="5" t="s">
        <v>44</v>
      </c>
      <c r="E68" s="5" t="s">
        <v>26</v>
      </c>
      <c r="F68" s="5" t="s">
        <v>68</v>
      </c>
      <c r="G68" s="5">
        <v>12.16</v>
      </c>
      <c r="H68" s="5">
        <v>3.4</v>
      </c>
      <c r="I68" s="5">
        <v>0</v>
      </c>
      <c r="J68" s="5">
        <v>15.55</v>
      </c>
      <c r="K68" s="5">
        <v>2566</v>
      </c>
      <c r="L68" s="5" t="s">
        <v>126</v>
      </c>
      <c r="M68" s="5" t="s">
        <v>58</v>
      </c>
      <c r="N68" s="5">
        <v>12</v>
      </c>
      <c r="O68" s="5">
        <v>148.1</v>
      </c>
      <c r="P68" s="5">
        <v>0.218</v>
      </c>
      <c r="Q68" s="5" t="s">
        <v>122</v>
      </c>
    </row>
    <row r="69" spans="1:17">
      <c r="A69" s="5" t="s">
        <v>42</v>
      </c>
      <c r="B69" s="5" t="s">
        <v>43</v>
      </c>
      <c r="C69" s="5" t="s">
        <v>44</v>
      </c>
      <c r="D69" s="5" t="s">
        <v>44</v>
      </c>
      <c r="E69" s="5" t="s">
        <v>26</v>
      </c>
      <c r="F69" s="5" t="s">
        <v>69</v>
      </c>
      <c r="G69" s="5">
        <v>11.78</v>
      </c>
      <c r="H69" s="5">
        <v>3.07</v>
      </c>
      <c r="I69" s="5">
        <v>0</v>
      </c>
      <c r="J69" s="5">
        <v>14.85</v>
      </c>
      <c r="K69" s="5">
        <v>2559</v>
      </c>
      <c r="L69" s="5" t="s">
        <v>126</v>
      </c>
      <c r="M69" s="5" t="s">
        <v>58</v>
      </c>
      <c r="N69" s="5">
        <v>12</v>
      </c>
      <c r="O69" s="5">
        <v>141.4</v>
      </c>
      <c r="P69" s="5">
        <v>0.20699999999999999</v>
      </c>
      <c r="Q69" s="5" t="s">
        <v>122</v>
      </c>
    </row>
    <row r="70" spans="1:17">
      <c r="A70" s="5" t="s">
        <v>42</v>
      </c>
      <c r="B70" s="5" t="s">
        <v>43</v>
      </c>
      <c r="C70" s="5" t="s">
        <v>44</v>
      </c>
      <c r="D70" s="5" t="s">
        <v>44</v>
      </c>
      <c r="E70" s="5" t="s">
        <v>26</v>
      </c>
      <c r="F70" s="5" t="s">
        <v>70</v>
      </c>
      <c r="G70" s="5">
        <v>11.22</v>
      </c>
      <c r="H70" s="5">
        <v>2.87</v>
      </c>
      <c r="I70" s="5">
        <v>0</v>
      </c>
      <c r="J70" s="5">
        <v>14.09</v>
      </c>
      <c r="K70" s="5">
        <v>2119</v>
      </c>
      <c r="L70" s="5" t="s">
        <v>126</v>
      </c>
      <c r="M70" s="5" t="s">
        <v>58</v>
      </c>
      <c r="N70" s="5">
        <v>12</v>
      </c>
      <c r="O70" s="5">
        <v>134.19999999999999</v>
      </c>
      <c r="P70" s="5">
        <v>0.20399999999999999</v>
      </c>
      <c r="Q70" s="5" t="s">
        <v>122</v>
      </c>
    </row>
    <row r="71" spans="1:17">
      <c r="A71" s="5" t="s">
        <v>42</v>
      </c>
      <c r="B71" s="5" t="s">
        <v>43</v>
      </c>
      <c r="C71" s="5" t="s">
        <v>44</v>
      </c>
      <c r="D71" s="5" t="s">
        <v>44</v>
      </c>
      <c r="E71" s="5" t="s">
        <v>26</v>
      </c>
      <c r="F71" s="5" t="s">
        <v>71</v>
      </c>
      <c r="G71" s="5">
        <v>11.46</v>
      </c>
      <c r="H71" s="5">
        <v>3.13</v>
      </c>
      <c r="I71" s="5">
        <v>0</v>
      </c>
      <c r="J71" s="5">
        <v>14.59</v>
      </c>
      <c r="K71" s="5">
        <v>2480</v>
      </c>
      <c r="L71" s="5" t="s">
        <v>126</v>
      </c>
      <c r="M71" s="5" t="s">
        <v>58</v>
      </c>
      <c r="N71" s="5">
        <v>12</v>
      </c>
      <c r="O71" s="5">
        <v>139</v>
      </c>
      <c r="P71" s="5">
        <v>0.214</v>
      </c>
      <c r="Q71" s="5" t="s">
        <v>122</v>
      </c>
    </row>
    <row r="72" spans="1:17">
      <c r="A72" s="5" t="s">
        <v>42</v>
      </c>
      <c r="B72" s="5" t="s">
        <v>43</v>
      </c>
      <c r="C72" s="5" t="s">
        <v>44</v>
      </c>
      <c r="D72" s="5" t="s">
        <v>44</v>
      </c>
      <c r="E72" s="5" t="s">
        <v>26</v>
      </c>
      <c r="F72" s="5" t="s">
        <v>72</v>
      </c>
      <c r="G72" s="5">
        <v>11.87</v>
      </c>
      <c r="H72" s="5">
        <v>3.04</v>
      </c>
      <c r="I72" s="5">
        <v>0</v>
      </c>
      <c r="J72" s="5">
        <v>14.91</v>
      </c>
      <c r="K72" s="5">
        <v>2246</v>
      </c>
      <c r="L72" s="5" t="s">
        <v>126</v>
      </c>
      <c r="M72" s="5" t="s">
        <v>112</v>
      </c>
      <c r="N72" s="5">
        <v>12</v>
      </c>
      <c r="O72" s="5">
        <v>142</v>
      </c>
      <c r="P72" s="5">
        <v>0.20399999999999999</v>
      </c>
      <c r="Q72" s="5" t="s">
        <v>122</v>
      </c>
    </row>
    <row r="73" spans="1:17">
      <c r="A73" s="5" t="s">
        <v>42</v>
      </c>
      <c r="B73" s="5" t="s">
        <v>43</v>
      </c>
      <c r="C73" s="5" t="s">
        <v>44</v>
      </c>
      <c r="D73" s="5" t="s">
        <v>44</v>
      </c>
      <c r="E73" s="5" t="s">
        <v>26</v>
      </c>
      <c r="F73" s="5" t="s">
        <v>73</v>
      </c>
      <c r="G73" s="5">
        <v>12.73</v>
      </c>
      <c r="H73" s="5">
        <v>3.75</v>
      </c>
      <c r="I73" s="5">
        <v>0</v>
      </c>
      <c r="J73" s="5">
        <v>16.48</v>
      </c>
      <c r="K73" s="5">
        <v>2785</v>
      </c>
      <c r="L73" s="5" t="s">
        <v>126</v>
      </c>
      <c r="M73" s="5" t="s">
        <v>112</v>
      </c>
      <c r="N73" s="5">
        <v>12</v>
      </c>
      <c r="O73" s="5">
        <v>157</v>
      </c>
      <c r="P73" s="5">
        <v>0.22800000000000001</v>
      </c>
      <c r="Q73" s="5" t="s">
        <v>122</v>
      </c>
    </row>
    <row r="74" spans="1:17">
      <c r="A74" s="5" t="s">
        <v>45</v>
      </c>
      <c r="B74" s="5" t="s">
        <v>46</v>
      </c>
      <c r="C74" s="5" t="s">
        <v>47</v>
      </c>
      <c r="D74" s="5" t="s">
        <v>48</v>
      </c>
      <c r="E74" s="5" t="s">
        <v>26</v>
      </c>
      <c r="F74" s="5" t="s">
        <v>57</v>
      </c>
      <c r="G74" s="5">
        <v>7.27</v>
      </c>
      <c r="H74" s="5">
        <v>2.4300000000000002</v>
      </c>
      <c r="I74" s="5">
        <v>0</v>
      </c>
      <c r="J74" s="5">
        <v>9.69</v>
      </c>
      <c r="K74" s="5">
        <v>1725</v>
      </c>
      <c r="L74" s="5" t="s">
        <v>121</v>
      </c>
      <c r="M74" s="5" t="s">
        <v>58</v>
      </c>
      <c r="N74" s="5">
        <v>12</v>
      </c>
      <c r="O74" s="5">
        <v>129.19999999999999</v>
      </c>
      <c r="P74" s="5">
        <v>0.25</v>
      </c>
      <c r="Q74" s="5" t="s">
        <v>122</v>
      </c>
    </row>
    <row r="75" spans="1:17">
      <c r="A75" s="5" t="s">
        <v>45</v>
      </c>
      <c r="B75" s="5" t="s">
        <v>46</v>
      </c>
      <c r="C75" s="5" t="s">
        <v>47</v>
      </c>
      <c r="D75" s="5" t="s">
        <v>48</v>
      </c>
      <c r="E75" s="5" t="s">
        <v>26</v>
      </c>
      <c r="F75" s="5" t="s">
        <v>59</v>
      </c>
      <c r="G75" s="5">
        <v>6.77</v>
      </c>
      <c r="H75" s="5">
        <v>2.63</v>
      </c>
      <c r="I75" s="5">
        <v>0</v>
      </c>
      <c r="J75" s="5">
        <v>9.4</v>
      </c>
      <c r="K75" s="5">
        <v>1540</v>
      </c>
      <c r="L75" s="5" t="s">
        <v>121</v>
      </c>
      <c r="M75" s="5" t="s">
        <v>58</v>
      </c>
      <c r="N75" s="5">
        <v>12</v>
      </c>
      <c r="O75" s="5">
        <v>125.3</v>
      </c>
      <c r="P75" s="5">
        <v>0.28000000000000003</v>
      </c>
      <c r="Q75" s="5" t="s">
        <v>122</v>
      </c>
    </row>
    <row r="76" spans="1:17">
      <c r="A76" s="5" t="s">
        <v>45</v>
      </c>
      <c r="B76" s="5" t="s">
        <v>46</v>
      </c>
      <c r="C76" s="5" t="s">
        <v>47</v>
      </c>
      <c r="D76" s="5" t="s">
        <v>48</v>
      </c>
      <c r="E76" s="5" t="s">
        <v>26</v>
      </c>
      <c r="F76" s="5" t="s">
        <v>60</v>
      </c>
      <c r="G76" s="5">
        <v>6.56</v>
      </c>
      <c r="H76" s="5">
        <v>2.4700000000000002</v>
      </c>
      <c r="I76" s="5">
        <v>0</v>
      </c>
      <c r="J76" s="5">
        <v>9.0299999999999994</v>
      </c>
      <c r="K76" s="5">
        <v>1533</v>
      </c>
      <c r="L76" s="5" t="s">
        <v>121</v>
      </c>
      <c r="M76" s="5" t="s">
        <v>58</v>
      </c>
      <c r="N76" s="5">
        <v>12</v>
      </c>
      <c r="O76" s="5">
        <v>120.4</v>
      </c>
      <c r="P76" s="5">
        <v>0.27400000000000002</v>
      </c>
      <c r="Q76" s="5" t="s">
        <v>122</v>
      </c>
    </row>
    <row r="77" spans="1:17">
      <c r="A77" s="5" t="s">
        <v>45</v>
      </c>
      <c r="B77" s="5" t="s">
        <v>46</v>
      </c>
      <c r="C77" s="5" t="s">
        <v>47</v>
      </c>
      <c r="D77" s="5" t="s">
        <v>48</v>
      </c>
      <c r="E77" s="5" t="s">
        <v>26</v>
      </c>
      <c r="F77" s="5" t="s">
        <v>61</v>
      </c>
      <c r="G77" s="5">
        <v>7.28</v>
      </c>
      <c r="H77" s="5">
        <v>2.33</v>
      </c>
      <c r="I77" s="5">
        <v>0</v>
      </c>
      <c r="J77" s="5">
        <v>9.61</v>
      </c>
      <c r="K77" s="5">
        <v>1731</v>
      </c>
      <c r="L77" s="5" t="s">
        <v>121</v>
      </c>
      <c r="M77" s="5" t="s">
        <v>58</v>
      </c>
      <c r="N77" s="5">
        <v>12</v>
      </c>
      <c r="O77" s="5">
        <v>128.1</v>
      </c>
      <c r="P77" s="5">
        <v>0.24299999999999999</v>
      </c>
      <c r="Q77" s="5" t="s">
        <v>122</v>
      </c>
    </row>
    <row r="78" spans="1:17">
      <c r="A78" s="5" t="s">
        <v>45</v>
      </c>
      <c r="B78" s="5" t="s">
        <v>46</v>
      </c>
      <c r="C78" s="5" t="s">
        <v>47</v>
      </c>
      <c r="D78" s="5" t="s">
        <v>48</v>
      </c>
      <c r="E78" s="5" t="s">
        <v>26</v>
      </c>
      <c r="F78" s="5" t="s">
        <v>66</v>
      </c>
      <c r="G78" s="5">
        <v>7.59</v>
      </c>
      <c r="H78" s="5">
        <v>2.88</v>
      </c>
      <c r="I78" s="5">
        <v>0</v>
      </c>
      <c r="J78" s="5">
        <v>10.47</v>
      </c>
      <c r="K78" s="5">
        <v>1608</v>
      </c>
      <c r="L78" s="5" t="s">
        <v>121</v>
      </c>
      <c r="M78" s="5" t="s">
        <v>58</v>
      </c>
      <c r="N78" s="5">
        <v>12</v>
      </c>
      <c r="O78" s="5">
        <v>139.6</v>
      </c>
      <c r="P78" s="5">
        <v>0.27500000000000002</v>
      </c>
      <c r="Q78" s="5" t="s">
        <v>122</v>
      </c>
    </row>
    <row r="79" spans="1:17">
      <c r="A79" s="5" t="s">
        <v>45</v>
      </c>
      <c r="B79" s="5" t="s">
        <v>46</v>
      </c>
      <c r="C79" s="5" t="s">
        <v>47</v>
      </c>
      <c r="D79" s="5" t="s">
        <v>48</v>
      </c>
      <c r="E79" s="5" t="s">
        <v>26</v>
      </c>
      <c r="F79" s="5" t="s">
        <v>67</v>
      </c>
      <c r="G79" s="5">
        <v>8.1300000000000008</v>
      </c>
      <c r="H79" s="5">
        <v>2.73</v>
      </c>
      <c r="I79" s="5">
        <v>0</v>
      </c>
      <c r="J79" s="5">
        <v>10.86</v>
      </c>
      <c r="K79" s="5">
        <v>1890</v>
      </c>
      <c r="L79" s="5" t="s">
        <v>121</v>
      </c>
      <c r="M79" s="5" t="s">
        <v>58</v>
      </c>
      <c r="N79" s="5">
        <v>12</v>
      </c>
      <c r="O79" s="5">
        <v>144.80000000000001</v>
      </c>
      <c r="P79" s="5">
        <v>0.252</v>
      </c>
      <c r="Q79" s="5" t="s">
        <v>122</v>
      </c>
    </row>
    <row r="80" spans="1:17">
      <c r="A80" s="5" t="s">
        <v>45</v>
      </c>
      <c r="B80" s="5" t="s">
        <v>46</v>
      </c>
      <c r="C80" s="5" t="s">
        <v>47</v>
      </c>
      <c r="D80" s="5" t="s">
        <v>48</v>
      </c>
      <c r="E80" s="5" t="s">
        <v>26</v>
      </c>
      <c r="F80" s="5" t="s">
        <v>68</v>
      </c>
      <c r="G80" s="5">
        <v>7.66</v>
      </c>
      <c r="H80" s="5">
        <v>2.91</v>
      </c>
      <c r="I80" s="5">
        <v>0</v>
      </c>
      <c r="J80" s="5">
        <v>10.58</v>
      </c>
      <c r="K80" s="5">
        <v>1846</v>
      </c>
      <c r="L80" s="5" t="s">
        <v>121</v>
      </c>
      <c r="M80" s="5" t="s">
        <v>58</v>
      </c>
      <c r="N80" s="5">
        <v>12</v>
      </c>
      <c r="O80" s="5">
        <v>141</v>
      </c>
      <c r="P80" s="5">
        <v>0.27500000000000002</v>
      </c>
      <c r="Q80" s="5" t="s">
        <v>122</v>
      </c>
    </row>
    <row r="81" spans="1:17">
      <c r="A81" s="5" t="s">
        <v>45</v>
      </c>
      <c r="B81" s="5" t="s">
        <v>46</v>
      </c>
      <c r="C81" s="5" t="s">
        <v>47</v>
      </c>
      <c r="D81" s="5" t="s">
        <v>48</v>
      </c>
      <c r="E81" s="5" t="s">
        <v>26</v>
      </c>
      <c r="F81" s="5" t="s">
        <v>69</v>
      </c>
      <c r="G81" s="5">
        <v>7.05</v>
      </c>
      <c r="H81" s="5">
        <v>2.72</v>
      </c>
      <c r="I81" s="5">
        <v>0</v>
      </c>
      <c r="J81" s="5">
        <v>9.77</v>
      </c>
      <c r="K81" s="5">
        <v>1579</v>
      </c>
      <c r="L81" s="5" t="s">
        <v>121</v>
      </c>
      <c r="M81" s="5" t="s">
        <v>58</v>
      </c>
      <c r="N81" s="5">
        <v>12</v>
      </c>
      <c r="O81" s="5">
        <v>130.30000000000001</v>
      </c>
      <c r="P81" s="5">
        <v>0.27900000000000003</v>
      </c>
      <c r="Q81" s="5" t="s">
        <v>122</v>
      </c>
    </row>
    <row r="82" spans="1:17">
      <c r="A82" s="5" t="s">
        <v>45</v>
      </c>
      <c r="B82" s="5" t="s">
        <v>46</v>
      </c>
      <c r="C82" s="5" t="s">
        <v>47</v>
      </c>
      <c r="D82" s="5" t="s">
        <v>48</v>
      </c>
      <c r="E82" s="5" t="s">
        <v>26</v>
      </c>
      <c r="F82" s="5" t="s">
        <v>70</v>
      </c>
      <c r="G82" s="5">
        <v>7.38</v>
      </c>
      <c r="H82" s="5">
        <v>2.57</v>
      </c>
      <c r="I82" s="5">
        <v>0</v>
      </c>
      <c r="J82" s="5">
        <v>9.9499999999999993</v>
      </c>
      <c r="K82" s="5">
        <v>1761</v>
      </c>
      <c r="L82" s="5" t="s">
        <v>121</v>
      </c>
      <c r="M82" s="5" t="s">
        <v>58</v>
      </c>
      <c r="N82" s="5">
        <v>12</v>
      </c>
      <c r="O82" s="5">
        <v>132.69999999999999</v>
      </c>
      <c r="P82" s="5">
        <v>0.25800000000000001</v>
      </c>
      <c r="Q82" s="5" t="s">
        <v>122</v>
      </c>
    </row>
    <row r="83" spans="1:17">
      <c r="A83" s="5" t="s">
        <v>45</v>
      </c>
      <c r="B83" s="5" t="s">
        <v>46</v>
      </c>
      <c r="C83" s="5" t="s">
        <v>47</v>
      </c>
      <c r="D83" s="5" t="s">
        <v>48</v>
      </c>
      <c r="E83" s="5" t="s">
        <v>26</v>
      </c>
      <c r="F83" s="5" t="s">
        <v>71</v>
      </c>
      <c r="G83" s="5">
        <v>7.11</v>
      </c>
      <c r="H83" s="5">
        <v>2.2000000000000002</v>
      </c>
      <c r="I83" s="5">
        <v>0</v>
      </c>
      <c r="J83" s="5">
        <v>9.31</v>
      </c>
      <c r="K83" s="5">
        <v>1549</v>
      </c>
      <c r="L83" s="5" t="s">
        <v>121</v>
      </c>
      <c r="M83" s="5" t="s">
        <v>58</v>
      </c>
      <c r="N83" s="5">
        <v>12</v>
      </c>
      <c r="O83" s="5">
        <v>124.1</v>
      </c>
      <c r="P83" s="5">
        <v>0.23599999999999999</v>
      </c>
      <c r="Q83" s="5" t="s">
        <v>122</v>
      </c>
    </row>
    <row r="84" spans="1:17">
      <c r="A84" s="5" t="s">
        <v>45</v>
      </c>
      <c r="B84" s="5" t="s">
        <v>46</v>
      </c>
      <c r="C84" s="5" t="s">
        <v>47</v>
      </c>
      <c r="D84" s="5" t="s">
        <v>48</v>
      </c>
      <c r="E84" s="5" t="s">
        <v>26</v>
      </c>
      <c r="F84" s="5" t="s">
        <v>72</v>
      </c>
      <c r="G84" s="5">
        <v>7.3</v>
      </c>
      <c r="H84" s="5">
        <v>2.88</v>
      </c>
      <c r="I84" s="5">
        <v>0</v>
      </c>
      <c r="J84" s="5">
        <v>10.18</v>
      </c>
      <c r="K84" s="5">
        <v>1750</v>
      </c>
      <c r="L84" s="5" t="s">
        <v>121</v>
      </c>
      <c r="M84" s="5" t="s">
        <v>112</v>
      </c>
      <c r="N84" s="5">
        <v>12</v>
      </c>
      <c r="O84" s="5">
        <v>135.80000000000001</v>
      </c>
      <c r="P84" s="5">
        <v>0.28299999999999997</v>
      </c>
      <c r="Q84" s="5" t="s">
        <v>122</v>
      </c>
    </row>
    <row r="85" spans="1:17">
      <c r="A85" s="5" t="s">
        <v>45</v>
      </c>
      <c r="B85" s="5" t="s">
        <v>46</v>
      </c>
      <c r="C85" s="5" t="s">
        <v>47</v>
      </c>
      <c r="D85" s="5" t="s">
        <v>48</v>
      </c>
      <c r="E85" s="5" t="s">
        <v>26</v>
      </c>
      <c r="F85" s="5" t="s">
        <v>73</v>
      </c>
      <c r="G85" s="5">
        <v>7.57</v>
      </c>
      <c r="H85" s="5">
        <v>3</v>
      </c>
      <c r="I85" s="5">
        <v>0</v>
      </c>
      <c r="J85" s="5">
        <v>10.57</v>
      </c>
      <c r="K85" s="5">
        <v>1890</v>
      </c>
      <c r="L85" s="5" t="s">
        <v>121</v>
      </c>
      <c r="M85" s="5" t="s">
        <v>112</v>
      </c>
      <c r="N85" s="5">
        <v>12</v>
      </c>
      <c r="O85" s="5">
        <v>141</v>
      </c>
      <c r="P85" s="5">
        <v>0.28399999999999997</v>
      </c>
      <c r="Q85" s="5" t="s">
        <v>122</v>
      </c>
    </row>
    <row r="86" spans="1:17">
      <c r="A86" s="5" t="s">
        <v>49</v>
      </c>
      <c r="B86" s="5" t="s">
        <v>50</v>
      </c>
      <c r="C86" s="5" t="s">
        <v>51</v>
      </c>
      <c r="D86" s="5" t="s">
        <v>51</v>
      </c>
      <c r="E86" s="5" t="s">
        <v>26</v>
      </c>
      <c r="F86" s="5" t="s">
        <v>57</v>
      </c>
      <c r="G86" s="5">
        <v>5.4</v>
      </c>
      <c r="H86" s="5">
        <v>2.2000000000000002</v>
      </c>
      <c r="I86" s="5">
        <v>0</v>
      </c>
      <c r="J86" s="5">
        <v>7.59</v>
      </c>
      <c r="K86" s="5">
        <v>1239</v>
      </c>
      <c r="L86" s="5" t="s">
        <v>127</v>
      </c>
      <c r="M86" s="5" t="s">
        <v>58</v>
      </c>
      <c r="N86" s="5">
        <v>9</v>
      </c>
      <c r="O86" s="5">
        <v>126.6</v>
      </c>
      <c r="P86" s="5">
        <v>0.28899999999999998</v>
      </c>
      <c r="Q86" s="5" t="s">
        <v>122</v>
      </c>
    </row>
    <row r="87" spans="1:17">
      <c r="A87" s="5" t="s">
        <v>49</v>
      </c>
      <c r="B87" s="5" t="s">
        <v>50</v>
      </c>
      <c r="C87" s="5" t="s">
        <v>51</v>
      </c>
      <c r="D87" s="5" t="s">
        <v>51</v>
      </c>
      <c r="E87" s="5" t="s">
        <v>26</v>
      </c>
      <c r="F87" s="5" t="s">
        <v>59</v>
      </c>
      <c r="G87" s="5">
        <v>5.12</v>
      </c>
      <c r="H87" s="5">
        <v>1.97</v>
      </c>
      <c r="I87" s="5">
        <v>0</v>
      </c>
      <c r="J87" s="5">
        <v>7.09</v>
      </c>
      <c r="K87" s="5">
        <v>1277</v>
      </c>
      <c r="L87" s="5" t="s">
        <v>127</v>
      </c>
      <c r="M87" s="5" t="s">
        <v>58</v>
      </c>
      <c r="N87" s="5">
        <v>9</v>
      </c>
      <c r="O87" s="5">
        <v>118.1</v>
      </c>
      <c r="P87" s="5">
        <v>0.27700000000000002</v>
      </c>
      <c r="Q87" s="5" t="s">
        <v>122</v>
      </c>
    </row>
    <row r="88" spans="1:17">
      <c r="A88" s="5" t="s">
        <v>49</v>
      </c>
      <c r="B88" s="5" t="s">
        <v>50</v>
      </c>
      <c r="C88" s="5" t="s">
        <v>51</v>
      </c>
      <c r="D88" s="5" t="s">
        <v>51</v>
      </c>
      <c r="E88" s="5" t="s">
        <v>26</v>
      </c>
      <c r="F88" s="5" t="s">
        <v>60</v>
      </c>
      <c r="G88" s="5">
        <v>5.39</v>
      </c>
      <c r="H88" s="5">
        <v>1.9</v>
      </c>
      <c r="I88" s="5">
        <v>0</v>
      </c>
      <c r="J88" s="5">
        <v>7.28</v>
      </c>
      <c r="K88" s="5">
        <v>1231</v>
      </c>
      <c r="L88" s="5" t="s">
        <v>127</v>
      </c>
      <c r="M88" s="5" t="s">
        <v>58</v>
      </c>
      <c r="N88" s="5">
        <v>9</v>
      </c>
      <c r="O88" s="5">
        <v>121.3</v>
      </c>
      <c r="P88" s="5">
        <v>0.26</v>
      </c>
      <c r="Q88" s="5" t="s">
        <v>122</v>
      </c>
    </row>
    <row r="89" spans="1:17">
      <c r="A89" s="5" t="s">
        <v>49</v>
      </c>
      <c r="B89" s="5" t="s">
        <v>50</v>
      </c>
      <c r="C89" s="5" t="s">
        <v>51</v>
      </c>
      <c r="D89" s="5" t="s">
        <v>51</v>
      </c>
      <c r="E89" s="5" t="s">
        <v>26</v>
      </c>
      <c r="F89" s="5" t="s">
        <v>61</v>
      </c>
      <c r="G89" s="5">
        <v>5.73</v>
      </c>
      <c r="H89" s="5">
        <v>1.82</v>
      </c>
      <c r="I89" s="5">
        <v>0</v>
      </c>
      <c r="J89" s="5">
        <v>7.55</v>
      </c>
      <c r="K89" s="5">
        <v>1324</v>
      </c>
      <c r="L89" s="5" t="s">
        <v>127</v>
      </c>
      <c r="M89" s="5" t="s">
        <v>58</v>
      </c>
      <c r="N89" s="5">
        <v>9</v>
      </c>
      <c r="O89" s="5">
        <v>125.8</v>
      </c>
      <c r="P89" s="5">
        <v>0.24099999999999999</v>
      </c>
      <c r="Q89" s="5" t="s">
        <v>122</v>
      </c>
    </row>
    <row r="90" spans="1:17">
      <c r="A90" s="5" t="s">
        <v>49</v>
      </c>
      <c r="B90" s="5" t="s">
        <v>50</v>
      </c>
      <c r="C90" s="5" t="s">
        <v>51</v>
      </c>
      <c r="D90" s="5" t="s">
        <v>51</v>
      </c>
      <c r="E90" s="5" t="s">
        <v>26</v>
      </c>
      <c r="F90" s="5" t="s">
        <v>66</v>
      </c>
      <c r="G90" s="5">
        <v>5.78</v>
      </c>
      <c r="H90" s="5">
        <v>2.23</v>
      </c>
      <c r="I90" s="5">
        <v>0</v>
      </c>
      <c r="J90" s="5">
        <v>8.01</v>
      </c>
      <c r="K90" s="5">
        <v>1346</v>
      </c>
      <c r="L90" s="5" t="s">
        <v>127</v>
      </c>
      <c r="M90" s="5" t="s">
        <v>58</v>
      </c>
      <c r="N90" s="5">
        <v>9</v>
      </c>
      <c r="O90" s="5">
        <v>133.4</v>
      </c>
      <c r="P90" s="5">
        <v>0.27800000000000002</v>
      </c>
      <c r="Q90" s="5" t="s">
        <v>122</v>
      </c>
    </row>
    <row r="91" spans="1:17">
      <c r="A91" s="5" t="s">
        <v>49</v>
      </c>
      <c r="B91" s="5" t="s">
        <v>50</v>
      </c>
      <c r="C91" s="5" t="s">
        <v>51</v>
      </c>
      <c r="D91" s="5" t="s">
        <v>51</v>
      </c>
      <c r="E91" s="5" t="s">
        <v>26</v>
      </c>
      <c r="F91" s="5" t="s">
        <v>67</v>
      </c>
      <c r="G91" s="5">
        <v>5.83</v>
      </c>
      <c r="H91" s="5">
        <v>2.2000000000000002</v>
      </c>
      <c r="I91" s="5">
        <v>0</v>
      </c>
      <c r="J91" s="5">
        <v>8.0299999999999994</v>
      </c>
      <c r="K91" s="5">
        <v>1338</v>
      </c>
      <c r="L91" s="5" t="s">
        <v>127</v>
      </c>
      <c r="M91" s="5" t="s">
        <v>58</v>
      </c>
      <c r="N91" s="5">
        <v>9</v>
      </c>
      <c r="O91" s="5">
        <v>133.80000000000001</v>
      </c>
      <c r="P91" s="5">
        <v>0.27400000000000002</v>
      </c>
      <c r="Q91" s="5" t="s">
        <v>122</v>
      </c>
    </row>
    <row r="92" spans="1:17">
      <c r="A92" s="5" t="s">
        <v>49</v>
      </c>
      <c r="B92" s="5" t="s">
        <v>50</v>
      </c>
      <c r="C92" s="5" t="s">
        <v>51</v>
      </c>
      <c r="D92" s="5" t="s">
        <v>51</v>
      </c>
      <c r="E92" s="5" t="s">
        <v>26</v>
      </c>
      <c r="F92" s="5" t="s">
        <v>68</v>
      </c>
      <c r="G92" s="5">
        <v>5.96</v>
      </c>
      <c r="H92" s="5">
        <v>2.2799999999999998</v>
      </c>
      <c r="I92" s="5">
        <v>0</v>
      </c>
      <c r="J92" s="5">
        <v>8.24</v>
      </c>
      <c r="K92" s="5">
        <v>1364</v>
      </c>
      <c r="L92" s="5" t="s">
        <v>127</v>
      </c>
      <c r="M92" s="5" t="s">
        <v>58</v>
      </c>
      <c r="N92" s="5">
        <v>9</v>
      </c>
      <c r="O92" s="5">
        <v>137.30000000000001</v>
      </c>
      <c r="P92" s="5">
        <v>0.27700000000000002</v>
      </c>
      <c r="Q92" s="5" t="s">
        <v>122</v>
      </c>
    </row>
    <row r="93" spans="1:17">
      <c r="A93" s="5" t="s">
        <v>49</v>
      </c>
      <c r="B93" s="5" t="s">
        <v>50</v>
      </c>
      <c r="C93" s="5" t="s">
        <v>51</v>
      </c>
      <c r="D93" s="5" t="s">
        <v>51</v>
      </c>
      <c r="E93" s="5" t="s">
        <v>26</v>
      </c>
      <c r="F93" s="5" t="s">
        <v>69</v>
      </c>
      <c r="G93" s="5">
        <v>5.77</v>
      </c>
      <c r="H93" s="5">
        <v>2.04</v>
      </c>
      <c r="I93" s="5">
        <v>0</v>
      </c>
      <c r="J93" s="5">
        <v>7.81</v>
      </c>
      <c r="K93" s="5">
        <v>1269</v>
      </c>
      <c r="L93" s="5" t="s">
        <v>127</v>
      </c>
      <c r="M93" s="5" t="s">
        <v>58</v>
      </c>
      <c r="N93" s="5">
        <v>9</v>
      </c>
      <c r="O93" s="5">
        <v>130.19999999999999</v>
      </c>
      <c r="P93" s="5">
        <v>0.26100000000000001</v>
      </c>
      <c r="Q93" s="5" t="s">
        <v>122</v>
      </c>
    </row>
    <row r="94" spans="1:17">
      <c r="A94" s="5" t="s">
        <v>49</v>
      </c>
      <c r="B94" s="5" t="s">
        <v>50</v>
      </c>
      <c r="C94" s="5" t="s">
        <v>51</v>
      </c>
      <c r="D94" s="5" t="s">
        <v>51</v>
      </c>
      <c r="E94" s="5" t="s">
        <v>26</v>
      </c>
      <c r="F94" s="5" t="s">
        <v>70</v>
      </c>
      <c r="G94" s="5">
        <v>5.36</v>
      </c>
      <c r="H94" s="5">
        <v>2.17</v>
      </c>
      <c r="I94" s="5">
        <v>0</v>
      </c>
      <c r="J94" s="5">
        <v>7.52</v>
      </c>
      <c r="K94" s="5">
        <v>1398</v>
      </c>
      <c r="L94" s="5" t="s">
        <v>127</v>
      </c>
      <c r="M94" s="5" t="s">
        <v>58</v>
      </c>
      <c r="N94" s="5">
        <v>9</v>
      </c>
      <c r="O94" s="5">
        <v>125.4</v>
      </c>
      <c r="P94" s="5">
        <v>0.28799999999999998</v>
      </c>
      <c r="Q94" s="5" t="s">
        <v>122</v>
      </c>
    </row>
    <row r="95" spans="1:17">
      <c r="A95" s="5" t="s">
        <v>49</v>
      </c>
      <c r="B95" s="5" t="s">
        <v>50</v>
      </c>
      <c r="C95" s="5" t="s">
        <v>51</v>
      </c>
      <c r="D95" s="5" t="s">
        <v>51</v>
      </c>
      <c r="E95" s="5" t="s">
        <v>26</v>
      </c>
      <c r="F95" s="5" t="s">
        <v>71</v>
      </c>
      <c r="G95" s="5">
        <v>5.57</v>
      </c>
      <c r="H95" s="5">
        <v>1.92</v>
      </c>
      <c r="I95" s="5">
        <v>0</v>
      </c>
      <c r="J95" s="5">
        <v>7.49</v>
      </c>
      <c r="K95" s="5">
        <v>1204</v>
      </c>
      <c r="L95" s="5" t="s">
        <v>127</v>
      </c>
      <c r="M95" s="5" t="s">
        <v>112</v>
      </c>
      <c r="N95" s="5">
        <v>9</v>
      </c>
      <c r="O95" s="5">
        <v>124.9</v>
      </c>
      <c r="P95" s="5">
        <v>0.25600000000000001</v>
      </c>
      <c r="Q95" s="5" t="s">
        <v>122</v>
      </c>
    </row>
    <row r="96" spans="1:17">
      <c r="A96" s="5" t="s">
        <v>49</v>
      </c>
      <c r="B96" s="5" t="s">
        <v>50</v>
      </c>
      <c r="C96" s="5" t="s">
        <v>51</v>
      </c>
      <c r="D96" s="5" t="s">
        <v>51</v>
      </c>
      <c r="E96" s="5" t="s">
        <v>26</v>
      </c>
      <c r="F96" s="5" t="s">
        <v>72</v>
      </c>
      <c r="G96" s="5">
        <v>5.6</v>
      </c>
      <c r="H96" s="5">
        <v>1.99</v>
      </c>
      <c r="I96" s="5">
        <v>0</v>
      </c>
      <c r="J96" s="5">
        <v>7.59</v>
      </c>
      <c r="K96" s="5">
        <v>1354</v>
      </c>
      <c r="L96" s="5" t="s">
        <v>127</v>
      </c>
      <c r="M96" s="5" t="s">
        <v>112</v>
      </c>
      <c r="N96" s="5">
        <v>9</v>
      </c>
      <c r="O96" s="5">
        <v>126.5</v>
      </c>
      <c r="P96" s="5">
        <v>0.26300000000000001</v>
      </c>
      <c r="Q96" s="5" t="s">
        <v>122</v>
      </c>
    </row>
    <row r="97" spans="1:17">
      <c r="A97" s="5" t="s">
        <v>49</v>
      </c>
      <c r="B97" s="5" t="s">
        <v>50</v>
      </c>
      <c r="C97" s="5" t="s">
        <v>51</v>
      </c>
      <c r="D97" s="5" t="s">
        <v>51</v>
      </c>
      <c r="E97" s="5" t="s">
        <v>26</v>
      </c>
      <c r="F97" s="5" t="s">
        <v>73</v>
      </c>
      <c r="G97" s="5">
        <v>6.11</v>
      </c>
      <c r="H97" s="5">
        <v>2.1800000000000002</v>
      </c>
      <c r="I97" s="5">
        <v>0</v>
      </c>
      <c r="J97" s="5">
        <v>8.2899999999999991</v>
      </c>
      <c r="K97" s="5">
        <v>1408</v>
      </c>
      <c r="L97" s="5" t="s">
        <v>127</v>
      </c>
      <c r="M97" s="5" t="s">
        <v>112</v>
      </c>
      <c r="N97" s="5">
        <v>9</v>
      </c>
      <c r="O97" s="5">
        <v>138.19999999999999</v>
      </c>
      <c r="P97" s="5">
        <v>0.26300000000000001</v>
      </c>
      <c r="Q97" s="5" t="s">
        <v>122</v>
      </c>
    </row>
    <row r="98" spans="1:17">
      <c r="A98" s="5" t="s">
        <v>52</v>
      </c>
      <c r="B98" s="5" t="s">
        <v>53</v>
      </c>
      <c r="C98" s="5" t="s">
        <v>24</v>
      </c>
      <c r="D98" s="5" t="s">
        <v>25</v>
      </c>
      <c r="E98" s="5" t="s">
        <v>26</v>
      </c>
      <c r="F98" s="5" t="s">
        <v>57</v>
      </c>
      <c r="G98" s="5">
        <v>8.52</v>
      </c>
      <c r="H98" s="5">
        <v>4.0599999999999996</v>
      </c>
      <c r="I98" s="5">
        <v>0.24</v>
      </c>
      <c r="J98" s="5">
        <v>12.82</v>
      </c>
      <c r="K98" s="5">
        <v>2059</v>
      </c>
      <c r="L98" s="5" t="s">
        <v>121</v>
      </c>
      <c r="M98" s="5" t="s">
        <v>58</v>
      </c>
      <c r="N98" s="5">
        <v>12</v>
      </c>
      <c r="O98" s="5">
        <v>135</v>
      </c>
      <c r="P98" s="5">
        <v>0.33600000000000002</v>
      </c>
      <c r="Q98" s="5" t="s">
        <v>122</v>
      </c>
    </row>
    <row r="99" spans="1:17">
      <c r="A99" s="5" t="s">
        <v>52</v>
      </c>
      <c r="B99" s="5" t="s">
        <v>53</v>
      </c>
      <c r="C99" s="5" t="s">
        <v>24</v>
      </c>
      <c r="D99" s="5" t="s">
        <v>25</v>
      </c>
      <c r="E99" s="5" t="s">
        <v>26</v>
      </c>
      <c r="F99" s="5" t="s">
        <v>59</v>
      </c>
      <c r="G99" s="5">
        <v>8.1199999999999992</v>
      </c>
      <c r="H99" s="5">
        <v>4.08</v>
      </c>
      <c r="I99" s="5">
        <v>0.24</v>
      </c>
      <c r="J99" s="5">
        <v>12.44</v>
      </c>
      <c r="K99" s="5">
        <v>1971</v>
      </c>
      <c r="L99" s="5" t="s">
        <v>121</v>
      </c>
      <c r="M99" s="5" t="s">
        <v>58</v>
      </c>
      <c r="N99" s="5">
        <v>12</v>
      </c>
      <c r="O99" s="5">
        <v>130.9</v>
      </c>
      <c r="P99" s="5">
        <v>0.34699999999999998</v>
      </c>
      <c r="Q99" s="5" t="s">
        <v>122</v>
      </c>
    </row>
    <row r="100" spans="1:17">
      <c r="A100" s="5" t="s">
        <v>52</v>
      </c>
      <c r="B100" s="5" t="s">
        <v>53</v>
      </c>
      <c r="C100" s="5" t="s">
        <v>24</v>
      </c>
      <c r="D100" s="5" t="s">
        <v>25</v>
      </c>
      <c r="E100" s="5" t="s">
        <v>26</v>
      </c>
      <c r="F100" s="5" t="s">
        <v>60</v>
      </c>
      <c r="G100" s="5">
        <v>8.33</v>
      </c>
      <c r="H100" s="5">
        <v>3.58</v>
      </c>
      <c r="I100" s="5">
        <v>0.18</v>
      </c>
      <c r="J100" s="5">
        <v>12.08</v>
      </c>
      <c r="K100" s="5">
        <v>2012</v>
      </c>
      <c r="L100" s="5" t="s">
        <v>121</v>
      </c>
      <c r="M100" s="5" t="s">
        <v>58</v>
      </c>
      <c r="N100" s="5">
        <v>12</v>
      </c>
      <c r="O100" s="5">
        <v>127.2</v>
      </c>
      <c r="P100" s="5">
        <v>0.311</v>
      </c>
      <c r="Q100" s="5" t="s">
        <v>122</v>
      </c>
    </row>
    <row r="101" spans="1:17">
      <c r="A101" s="5" t="s">
        <v>52</v>
      </c>
      <c r="B101" s="5" t="s">
        <v>53</v>
      </c>
      <c r="C101" s="5" t="s">
        <v>24</v>
      </c>
      <c r="D101" s="5" t="s">
        <v>25</v>
      </c>
      <c r="E101" s="5" t="s">
        <v>26</v>
      </c>
      <c r="F101" s="5" t="s">
        <v>61</v>
      </c>
      <c r="G101" s="5">
        <v>8.92</v>
      </c>
      <c r="H101" s="5">
        <v>3.85</v>
      </c>
      <c r="I101" s="5">
        <v>0.22</v>
      </c>
      <c r="J101" s="5">
        <v>12.99</v>
      </c>
      <c r="K101" s="5">
        <v>2187</v>
      </c>
      <c r="L101" s="5" t="s">
        <v>121</v>
      </c>
      <c r="M101" s="5" t="s">
        <v>58</v>
      </c>
      <c r="N101" s="5">
        <v>12</v>
      </c>
      <c r="O101" s="5">
        <v>136.69999999999999</v>
      </c>
      <c r="P101" s="5">
        <v>0.313</v>
      </c>
      <c r="Q101" s="5" t="s">
        <v>122</v>
      </c>
    </row>
    <row r="102" spans="1:17">
      <c r="A102" s="5" t="s">
        <v>52</v>
      </c>
      <c r="B102" s="5" t="s">
        <v>53</v>
      </c>
      <c r="C102" s="5" t="s">
        <v>24</v>
      </c>
      <c r="D102" s="5" t="s">
        <v>25</v>
      </c>
      <c r="E102" s="5" t="s">
        <v>26</v>
      </c>
      <c r="F102" s="5" t="s">
        <v>66</v>
      </c>
      <c r="G102" s="5">
        <v>8.56</v>
      </c>
      <c r="H102" s="5">
        <v>4.2699999999999996</v>
      </c>
      <c r="I102" s="5">
        <v>0.23</v>
      </c>
      <c r="J102" s="5">
        <v>13.06</v>
      </c>
      <c r="K102" s="5">
        <v>2056</v>
      </c>
      <c r="L102" s="5" t="s">
        <v>121</v>
      </c>
      <c r="M102" s="5" t="s">
        <v>58</v>
      </c>
      <c r="N102" s="5">
        <v>12</v>
      </c>
      <c r="O102" s="5">
        <v>137.5</v>
      </c>
      <c r="P102" s="5">
        <v>0.34499999999999997</v>
      </c>
      <c r="Q102" s="5" t="s">
        <v>122</v>
      </c>
    </row>
    <row r="103" spans="1:17">
      <c r="A103" s="5" t="s">
        <v>52</v>
      </c>
      <c r="B103" s="5" t="s">
        <v>53</v>
      </c>
      <c r="C103" s="5" t="s">
        <v>24</v>
      </c>
      <c r="D103" s="5" t="s">
        <v>25</v>
      </c>
      <c r="E103" s="5" t="s">
        <v>26</v>
      </c>
      <c r="F103" s="5" t="s">
        <v>67</v>
      </c>
      <c r="G103" s="5">
        <v>9.8800000000000008</v>
      </c>
      <c r="H103" s="5">
        <v>4.1500000000000004</v>
      </c>
      <c r="I103" s="5">
        <v>0.28999999999999998</v>
      </c>
      <c r="J103" s="5">
        <v>14.33</v>
      </c>
      <c r="K103" s="5">
        <v>2424</v>
      </c>
      <c r="L103" s="5" t="s">
        <v>121</v>
      </c>
      <c r="M103" s="5" t="s">
        <v>58</v>
      </c>
      <c r="N103" s="5">
        <v>12</v>
      </c>
      <c r="O103" s="5">
        <v>150.80000000000001</v>
      </c>
      <c r="P103" s="5">
        <v>0.31</v>
      </c>
      <c r="Q103" s="5" t="s">
        <v>122</v>
      </c>
    </row>
    <row r="104" spans="1:17">
      <c r="A104" s="5" t="s">
        <v>52</v>
      </c>
      <c r="B104" s="5" t="s">
        <v>53</v>
      </c>
      <c r="C104" s="5" t="s">
        <v>24</v>
      </c>
      <c r="D104" s="5" t="s">
        <v>25</v>
      </c>
      <c r="E104" s="5" t="s">
        <v>26</v>
      </c>
      <c r="F104" s="5" t="s">
        <v>68</v>
      </c>
      <c r="G104" s="5">
        <v>8.84</v>
      </c>
      <c r="H104" s="5">
        <v>4.1900000000000004</v>
      </c>
      <c r="I104" s="5">
        <v>0.19</v>
      </c>
      <c r="J104" s="5">
        <v>13.22</v>
      </c>
      <c r="K104" s="5">
        <v>2339</v>
      </c>
      <c r="L104" s="5" t="s">
        <v>121</v>
      </c>
      <c r="M104" s="5" t="s">
        <v>58</v>
      </c>
      <c r="N104" s="5">
        <v>12</v>
      </c>
      <c r="O104" s="5">
        <v>139.1</v>
      </c>
      <c r="P104" s="5">
        <v>0.33100000000000002</v>
      </c>
      <c r="Q104" s="5" t="s">
        <v>122</v>
      </c>
    </row>
    <row r="105" spans="1:17">
      <c r="A105" s="5" t="s">
        <v>52</v>
      </c>
      <c r="B105" s="5" t="s">
        <v>53</v>
      </c>
      <c r="C105" s="5" t="s">
        <v>24</v>
      </c>
      <c r="D105" s="5" t="s">
        <v>25</v>
      </c>
      <c r="E105" s="5" t="s">
        <v>26</v>
      </c>
      <c r="F105" s="5" t="s">
        <v>69</v>
      </c>
      <c r="G105" s="5">
        <v>9.2200000000000006</v>
      </c>
      <c r="H105" s="5">
        <v>3.99</v>
      </c>
      <c r="I105" s="5">
        <v>0.2</v>
      </c>
      <c r="J105" s="5">
        <v>13.41</v>
      </c>
      <c r="K105" s="5">
        <v>2326</v>
      </c>
      <c r="L105" s="5" t="s">
        <v>121</v>
      </c>
      <c r="M105" s="5" t="s">
        <v>58</v>
      </c>
      <c r="N105" s="5">
        <v>12</v>
      </c>
      <c r="O105" s="5">
        <v>141.19999999999999</v>
      </c>
      <c r="P105" s="5">
        <v>0.312</v>
      </c>
      <c r="Q105" s="5" t="s">
        <v>122</v>
      </c>
    </row>
    <row r="106" spans="1:17">
      <c r="A106" s="5" t="s">
        <v>52</v>
      </c>
      <c r="B106" s="5" t="s">
        <v>53</v>
      </c>
      <c r="C106" s="5" t="s">
        <v>24</v>
      </c>
      <c r="D106" s="5" t="s">
        <v>25</v>
      </c>
      <c r="E106" s="5" t="s">
        <v>26</v>
      </c>
      <c r="F106" s="5" t="s">
        <v>70</v>
      </c>
      <c r="G106" s="5">
        <v>8.35</v>
      </c>
      <c r="H106" s="5">
        <v>4.24</v>
      </c>
      <c r="I106" s="5">
        <v>0.25</v>
      </c>
      <c r="J106" s="5">
        <v>12.84</v>
      </c>
      <c r="K106" s="5">
        <v>2296</v>
      </c>
      <c r="L106" s="5" t="s">
        <v>121</v>
      </c>
      <c r="M106" s="5" t="s">
        <v>58</v>
      </c>
      <c r="N106" s="5">
        <v>12</v>
      </c>
      <c r="O106" s="5">
        <v>135.19999999999999</v>
      </c>
      <c r="P106" s="5">
        <v>0.35</v>
      </c>
      <c r="Q106" s="5" t="s">
        <v>122</v>
      </c>
    </row>
    <row r="107" spans="1:17">
      <c r="A107" s="5" t="s">
        <v>52</v>
      </c>
      <c r="B107" s="5" t="s">
        <v>53</v>
      </c>
      <c r="C107" s="5" t="s">
        <v>24</v>
      </c>
      <c r="D107" s="5" t="s">
        <v>25</v>
      </c>
      <c r="E107" s="5" t="s">
        <v>26</v>
      </c>
      <c r="F107" s="5" t="s">
        <v>71</v>
      </c>
      <c r="G107" s="5">
        <v>8.18</v>
      </c>
      <c r="H107" s="5">
        <v>4.2699999999999996</v>
      </c>
      <c r="I107" s="5">
        <v>0.28000000000000003</v>
      </c>
      <c r="J107" s="5">
        <v>12.73</v>
      </c>
      <c r="K107" s="5">
        <v>2146</v>
      </c>
      <c r="L107" s="5" t="s">
        <v>121</v>
      </c>
      <c r="M107" s="5" t="s">
        <v>58</v>
      </c>
      <c r="N107" s="5">
        <v>12</v>
      </c>
      <c r="O107" s="5">
        <v>134</v>
      </c>
      <c r="P107" s="5">
        <v>0.35699999999999998</v>
      </c>
      <c r="Q107" s="5" t="s">
        <v>122</v>
      </c>
    </row>
    <row r="108" spans="1:17">
      <c r="A108" s="5" t="s">
        <v>52</v>
      </c>
      <c r="B108" s="5" t="s">
        <v>53</v>
      </c>
      <c r="C108" s="5" t="s">
        <v>24</v>
      </c>
      <c r="D108" s="5" t="s">
        <v>25</v>
      </c>
      <c r="E108" s="5" t="s">
        <v>26</v>
      </c>
      <c r="F108" s="5" t="s">
        <v>72</v>
      </c>
      <c r="G108" s="5">
        <v>8.89</v>
      </c>
      <c r="H108" s="5">
        <v>4.2</v>
      </c>
      <c r="I108" s="5">
        <v>0.28000000000000003</v>
      </c>
      <c r="J108" s="5">
        <v>13.37</v>
      </c>
      <c r="K108" s="5">
        <v>2208</v>
      </c>
      <c r="L108" s="5" t="s">
        <v>121</v>
      </c>
      <c r="M108" s="5" t="s">
        <v>58</v>
      </c>
      <c r="N108" s="5">
        <v>12</v>
      </c>
      <c r="O108" s="5">
        <v>140.69999999999999</v>
      </c>
      <c r="P108" s="5">
        <v>0.33500000000000002</v>
      </c>
      <c r="Q108" s="5" t="s">
        <v>122</v>
      </c>
    </row>
    <row r="109" spans="1:17">
      <c r="A109" s="5" t="s">
        <v>52</v>
      </c>
      <c r="B109" s="5" t="s">
        <v>53</v>
      </c>
      <c r="C109" s="5" t="s">
        <v>24</v>
      </c>
      <c r="D109" s="5" t="s">
        <v>25</v>
      </c>
      <c r="E109" s="5" t="s">
        <v>26</v>
      </c>
      <c r="F109" s="5" t="s">
        <v>73</v>
      </c>
      <c r="G109" s="5">
        <v>9.5299999999999994</v>
      </c>
      <c r="H109" s="5">
        <v>4.8099999999999996</v>
      </c>
      <c r="I109" s="5">
        <v>0.25</v>
      </c>
      <c r="J109" s="5">
        <v>14.6</v>
      </c>
      <c r="K109" s="5">
        <v>2254</v>
      </c>
      <c r="L109" s="5" t="s">
        <v>121</v>
      </c>
      <c r="M109" s="5" t="s">
        <v>58</v>
      </c>
      <c r="N109" s="5">
        <v>12</v>
      </c>
      <c r="O109" s="5">
        <v>153.69999999999999</v>
      </c>
      <c r="P109" s="5">
        <v>0.34699999999999998</v>
      </c>
      <c r="Q109" s="5" t="s">
        <v>122</v>
      </c>
    </row>
    <row r="110" spans="1:17">
      <c r="A110" s="5" t="s">
        <v>54</v>
      </c>
      <c r="B110" s="5" t="s">
        <v>55</v>
      </c>
      <c r="C110" s="5" t="s">
        <v>56</v>
      </c>
      <c r="D110" s="5" t="s">
        <v>56</v>
      </c>
      <c r="E110" s="5" t="s">
        <v>26</v>
      </c>
      <c r="F110" s="5" t="s">
        <v>57</v>
      </c>
      <c r="G110" s="5">
        <v>9.48</v>
      </c>
      <c r="H110" s="5">
        <v>2.64</v>
      </c>
      <c r="I110" s="5">
        <v>0</v>
      </c>
      <c r="J110" s="5">
        <v>12.13</v>
      </c>
      <c r="K110" s="5">
        <v>1927</v>
      </c>
      <c r="L110" s="5" t="s">
        <v>121</v>
      </c>
      <c r="M110" s="5" t="s">
        <v>58</v>
      </c>
      <c r="N110" s="5">
        <v>12</v>
      </c>
      <c r="O110" s="5">
        <v>138.6</v>
      </c>
      <c r="P110" s="5">
        <v>0.218</v>
      </c>
      <c r="Q110" s="5" t="s">
        <v>122</v>
      </c>
    </row>
    <row r="111" spans="1:17">
      <c r="A111" s="5" t="s">
        <v>54</v>
      </c>
      <c r="B111" s="5" t="s">
        <v>55</v>
      </c>
      <c r="C111" s="5" t="s">
        <v>56</v>
      </c>
      <c r="D111" s="5" t="s">
        <v>56</v>
      </c>
      <c r="E111" s="5" t="s">
        <v>26</v>
      </c>
      <c r="F111" s="5" t="s">
        <v>59</v>
      </c>
      <c r="G111" s="5">
        <v>8.33</v>
      </c>
      <c r="H111" s="5">
        <v>2.16</v>
      </c>
      <c r="I111" s="5">
        <v>0</v>
      </c>
      <c r="J111" s="5">
        <v>10.49</v>
      </c>
      <c r="K111" s="5">
        <v>1734</v>
      </c>
      <c r="L111" s="5" t="s">
        <v>121</v>
      </c>
      <c r="M111" s="5" t="s">
        <v>58</v>
      </c>
      <c r="N111" s="5">
        <v>12</v>
      </c>
      <c r="O111" s="5">
        <v>119.9</v>
      </c>
      <c r="P111" s="5">
        <v>0.20599999999999999</v>
      </c>
      <c r="Q111" s="5" t="s">
        <v>122</v>
      </c>
    </row>
    <row r="112" spans="1:17">
      <c r="A112" s="5" t="s">
        <v>54</v>
      </c>
      <c r="B112" s="5" t="s">
        <v>55</v>
      </c>
      <c r="C112" s="5" t="s">
        <v>56</v>
      </c>
      <c r="D112" s="5" t="s">
        <v>56</v>
      </c>
      <c r="E112" s="5" t="s">
        <v>26</v>
      </c>
      <c r="F112" s="5" t="s">
        <v>60</v>
      </c>
      <c r="G112" s="5">
        <v>8.91</v>
      </c>
      <c r="H112" s="5">
        <v>2.21</v>
      </c>
      <c r="I112" s="5">
        <v>0</v>
      </c>
      <c r="J112" s="5">
        <v>11.12</v>
      </c>
      <c r="K112" s="5">
        <v>1930</v>
      </c>
      <c r="L112" s="5" t="s">
        <v>121</v>
      </c>
      <c r="M112" s="5" t="s">
        <v>58</v>
      </c>
      <c r="N112" s="5">
        <v>12</v>
      </c>
      <c r="O112" s="5">
        <v>127</v>
      </c>
      <c r="P112" s="5">
        <v>0.19900000000000001</v>
      </c>
      <c r="Q112" s="5" t="s">
        <v>122</v>
      </c>
    </row>
    <row r="113" spans="1:17">
      <c r="A113" s="5" t="s">
        <v>54</v>
      </c>
      <c r="B113" s="5" t="s">
        <v>55</v>
      </c>
      <c r="C113" s="5" t="s">
        <v>56</v>
      </c>
      <c r="D113" s="5" t="s">
        <v>56</v>
      </c>
      <c r="E113" s="5" t="s">
        <v>26</v>
      </c>
      <c r="F113" s="5" t="s">
        <v>61</v>
      </c>
      <c r="G113" s="5">
        <v>9.25</v>
      </c>
      <c r="H113" s="5">
        <v>2.2400000000000002</v>
      </c>
      <c r="I113" s="5">
        <v>0</v>
      </c>
      <c r="J113" s="5">
        <v>11.49</v>
      </c>
      <c r="K113" s="5">
        <v>1933</v>
      </c>
      <c r="L113" s="5" t="s">
        <v>121</v>
      </c>
      <c r="M113" s="5" t="s">
        <v>58</v>
      </c>
      <c r="N113" s="5">
        <v>12</v>
      </c>
      <c r="O113" s="5">
        <v>131.4</v>
      </c>
      <c r="P113" s="5">
        <v>0.19500000000000001</v>
      </c>
      <c r="Q113" s="5" t="s">
        <v>122</v>
      </c>
    </row>
    <row r="114" spans="1:17">
      <c r="A114" s="5" t="s">
        <v>54</v>
      </c>
      <c r="B114" s="5" t="s">
        <v>55</v>
      </c>
      <c r="C114" s="5" t="s">
        <v>56</v>
      </c>
      <c r="D114" s="5" t="s">
        <v>56</v>
      </c>
      <c r="E114" s="5" t="s">
        <v>26</v>
      </c>
      <c r="F114" s="5" t="s">
        <v>66</v>
      </c>
      <c r="G114" s="5">
        <v>9.5</v>
      </c>
      <c r="H114" s="5">
        <v>2.41</v>
      </c>
      <c r="I114" s="5">
        <v>0</v>
      </c>
      <c r="J114" s="5">
        <v>11.91</v>
      </c>
      <c r="K114" s="5">
        <v>2109</v>
      </c>
      <c r="L114" s="5" t="s">
        <v>121</v>
      </c>
      <c r="M114" s="5" t="s">
        <v>58</v>
      </c>
      <c r="N114" s="5">
        <v>12</v>
      </c>
      <c r="O114" s="5">
        <v>136.1</v>
      </c>
      <c r="P114" s="5">
        <v>0.20200000000000001</v>
      </c>
      <c r="Q114" s="5" t="s">
        <v>122</v>
      </c>
    </row>
    <row r="115" spans="1:17">
      <c r="A115" s="5" t="s">
        <v>54</v>
      </c>
      <c r="B115" s="5" t="s">
        <v>55</v>
      </c>
      <c r="C115" s="5" t="s">
        <v>56</v>
      </c>
      <c r="D115" s="5" t="s">
        <v>56</v>
      </c>
      <c r="E115" s="5" t="s">
        <v>26</v>
      </c>
      <c r="F115" s="5" t="s">
        <v>67</v>
      </c>
      <c r="G115" s="5">
        <v>9.86</v>
      </c>
      <c r="H115" s="5">
        <v>2.89</v>
      </c>
      <c r="I115" s="5">
        <v>0</v>
      </c>
      <c r="J115" s="5">
        <v>12.75</v>
      </c>
      <c r="K115" s="5">
        <v>2180</v>
      </c>
      <c r="L115" s="5" t="s">
        <v>121</v>
      </c>
      <c r="M115" s="5" t="s">
        <v>58</v>
      </c>
      <c r="N115" s="5">
        <v>12</v>
      </c>
      <c r="O115" s="5">
        <v>145.69999999999999</v>
      </c>
      <c r="P115" s="5">
        <v>0.22700000000000001</v>
      </c>
      <c r="Q115" s="5" t="s">
        <v>122</v>
      </c>
    </row>
    <row r="116" spans="1:17">
      <c r="A116" s="5" t="s">
        <v>54</v>
      </c>
      <c r="B116" s="5" t="s">
        <v>55</v>
      </c>
      <c r="C116" s="5" t="s">
        <v>56</v>
      </c>
      <c r="D116" s="5" t="s">
        <v>56</v>
      </c>
      <c r="E116" s="5" t="s">
        <v>26</v>
      </c>
      <c r="F116" s="5" t="s">
        <v>68</v>
      </c>
      <c r="G116" s="5">
        <v>9.77</v>
      </c>
      <c r="H116" s="5">
        <v>2.3199999999999998</v>
      </c>
      <c r="I116" s="5">
        <v>0</v>
      </c>
      <c r="J116" s="5">
        <v>12.1</v>
      </c>
      <c r="K116" s="5">
        <v>2085</v>
      </c>
      <c r="L116" s="5" t="s">
        <v>121</v>
      </c>
      <c r="M116" s="5" t="s">
        <v>58</v>
      </c>
      <c r="N116" s="5">
        <v>12</v>
      </c>
      <c r="O116" s="5">
        <v>138.19999999999999</v>
      </c>
      <c r="P116" s="5">
        <v>0.192</v>
      </c>
      <c r="Q116" s="5" t="s">
        <v>122</v>
      </c>
    </row>
    <row r="117" spans="1:17">
      <c r="A117" s="5" t="s">
        <v>54</v>
      </c>
      <c r="B117" s="5" t="s">
        <v>55</v>
      </c>
      <c r="C117" s="5" t="s">
        <v>56</v>
      </c>
      <c r="D117" s="5" t="s">
        <v>56</v>
      </c>
      <c r="E117" s="5" t="s">
        <v>26</v>
      </c>
      <c r="F117" s="5" t="s">
        <v>69</v>
      </c>
      <c r="G117" s="5">
        <v>9.3699999999999992</v>
      </c>
      <c r="H117" s="5">
        <v>2.95</v>
      </c>
      <c r="I117" s="5">
        <v>0</v>
      </c>
      <c r="J117" s="5">
        <v>12.32</v>
      </c>
      <c r="K117" s="5">
        <v>2115</v>
      </c>
      <c r="L117" s="5" t="s">
        <v>121</v>
      </c>
      <c r="M117" s="5" t="s">
        <v>58</v>
      </c>
      <c r="N117" s="5">
        <v>12</v>
      </c>
      <c r="O117" s="5">
        <v>140.9</v>
      </c>
      <c r="P117" s="5">
        <v>0.24</v>
      </c>
      <c r="Q117" s="5" t="s">
        <v>122</v>
      </c>
    </row>
    <row r="118" spans="1:17">
      <c r="A118" s="5" t="s">
        <v>54</v>
      </c>
      <c r="B118" s="5" t="s">
        <v>55</v>
      </c>
      <c r="C118" s="5" t="s">
        <v>56</v>
      </c>
      <c r="D118" s="5" t="s">
        <v>56</v>
      </c>
      <c r="E118" s="5" t="s">
        <v>26</v>
      </c>
      <c r="F118" s="5" t="s">
        <v>70</v>
      </c>
      <c r="G118" s="5">
        <v>9.01</v>
      </c>
      <c r="H118" s="5">
        <v>2.57</v>
      </c>
      <c r="I118" s="5">
        <v>0</v>
      </c>
      <c r="J118" s="5">
        <v>11.58</v>
      </c>
      <c r="K118" s="5">
        <v>1840</v>
      </c>
      <c r="L118" s="5" t="s">
        <v>121</v>
      </c>
      <c r="M118" s="5" t="s">
        <v>58</v>
      </c>
      <c r="N118" s="5">
        <v>12</v>
      </c>
      <c r="O118" s="5">
        <v>132.30000000000001</v>
      </c>
      <c r="P118" s="5">
        <v>0.222</v>
      </c>
      <c r="Q118" s="5" t="s">
        <v>122</v>
      </c>
    </row>
    <row r="119" spans="1:17">
      <c r="A119" s="5" t="s">
        <v>54</v>
      </c>
      <c r="B119" s="5" t="s">
        <v>55</v>
      </c>
      <c r="C119" s="5" t="s">
        <v>56</v>
      </c>
      <c r="D119" s="5" t="s">
        <v>56</v>
      </c>
      <c r="E119" s="5" t="s">
        <v>26</v>
      </c>
      <c r="F119" s="5" t="s">
        <v>71</v>
      </c>
      <c r="G119" s="5">
        <v>9.07</v>
      </c>
      <c r="H119" s="5">
        <v>2.17</v>
      </c>
      <c r="I119" s="5">
        <v>0</v>
      </c>
      <c r="J119" s="5">
        <v>11.25</v>
      </c>
      <c r="K119" s="5">
        <v>1944</v>
      </c>
      <c r="L119" s="5" t="s">
        <v>121</v>
      </c>
      <c r="M119" s="5" t="s">
        <v>58</v>
      </c>
      <c r="N119" s="5">
        <v>12</v>
      </c>
      <c r="O119" s="5">
        <v>128.6</v>
      </c>
      <c r="P119" s="5">
        <v>0.193</v>
      </c>
      <c r="Q119" s="5" t="s">
        <v>122</v>
      </c>
    </row>
    <row r="120" spans="1:17">
      <c r="A120" s="5" t="s">
        <v>54</v>
      </c>
      <c r="B120" s="5" t="s">
        <v>55</v>
      </c>
      <c r="C120" s="5" t="s">
        <v>56</v>
      </c>
      <c r="D120" s="5" t="s">
        <v>56</v>
      </c>
      <c r="E120" s="5" t="s">
        <v>26</v>
      </c>
      <c r="F120" s="5" t="s">
        <v>72</v>
      </c>
      <c r="G120" s="5">
        <v>9.33</v>
      </c>
      <c r="H120" s="5">
        <v>2.34</v>
      </c>
      <c r="I120" s="5">
        <v>0</v>
      </c>
      <c r="J120" s="5">
        <v>11.67</v>
      </c>
      <c r="K120" s="5">
        <v>1821</v>
      </c>
      <c r="L120" s="5" t="s">
        <v>121</v>
      </c>
      <c r="M120" s="5" t="s">
        <v>112</v>
      </c>
      <c r="N120" s="5">
        <v>12</v>
      </c>
      <c r="O120" s="5">
        <v>133.4</v>
      </c>
      <c r="P120" s="5">
        <v>0.2</v>
      </c>
      <c r="Q120" s="5" t="s">
        <v>122</v>
      </c>
    </row>
    <row r="121" spans="1:17">
      <c r="A121" s="5" t="s">
        <v>54</v>
      </c>
      <c r="B121" s="5" t="s">
        <v>55</v>
      </c>
      <c r="C121" s="5" t="s">
        <v>56</v>
      </c>
      <c r="D121" s="5" t="s">
        <v>56</v>
      </c>
      <c r="E121" s="5" t="s">
        <v>26</v>
      </c>
      <c r="F121" s="5" t="s">
        <v>73</v>
      </c>
      <c r="G121" s="5">
        <v>10.32</v>
      </c>
      <c r="H121" s="5">
        <v>2.4700000000000002</v>
      </c>
      <c r="I121" s="5">
        <v>0</v>
      </c>
      <c r="J121" s="5">
        <v>12.79</v>
      </c>
      <c r="K121" s="5">
        <v>2114</v>
      </c>
      <c r="L121" s="5" t="s">
        <v>121</v>
      </c>
      <c r="M121" s="5" t="s">
        <v>112</v>
      </c>
      <c r="N121" s="5">
        <v>12</v>
      </c>
      <c r="O121" s="5">
        <v>146.1</v>
      </c>
      <c r="P121" s="5">
        <v>0.193</v>
      </c>
      <c r="Q121" s="5" t="s">
        <v>122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2579-8350-4DBD-B837-1C52026D343F}">
  <dimension ref="A1:P7"/>
  <sheetViews>
    <sheetView workbookViewId="0"/>
  </sheetViews>
  <sheetFormatPr defaultRowHeight="14.25"/>
  <cols>
    <col min="1" max="3" width="18.28515625" style="5" customWidth="1"/>
    <col min="4" max="5" width="27.42578125" style="5" customWidth="1"/>
    <col min="6" max="6" width="18.28515625" style="5" customWidth="1"/>
    <col min="7" max="7" width="27.42578125" style="5" customWidth="1"/>
    <col min="8" max="11" width="18.28515625" style="5" customWidth="1"/>
    <col min="12" max="12" width="27.42578125" style="5" customWidth="1"/>
    <col min="13" max="16" width="41.140625" style="5" customWidth="1"/>
    <col min="17" max="16384" width="9.140625" style="5"/>
  </cols>
  <sheetData>
    <row r="1" spans="1:16" ht="15">
      <c r="A1" s="6" t="s">
        <v>187</v>
      </c>
      <c r="B1" s="6" t="s">
        <v>186</v>
      </c>
      <c r="C1" s="6" t="s">
        <v>185</v>
      </c>
      <c r="D1" s="6" t="s">
        <v>184</v>
      </c>
      <c r="E1" s="6" t="s">
        <v>183</v>
      </c>
      <c r="F1" s="6" t="s">
        <v>182</v>
      </c>
      <c r="G1" s="6" t="s">
        <v>181</v>
      </c>
      <c r="H1" s="6" t="s">
        <v>180</v>
      </c>
      <c r="I1" s="6" t="s">
        <v>179</v>
      </c>
      <c r="J1" s="6" t="s">
        <v>178</v>
      </c>
      <c r="K1" s="6" t="s">
        <v>177</v>
      </c>
      <c r="L1" s="6" t="s">
        <v>176</v>
      </c>
      <c r="M1" s="6" t="s">
        <v>175</v>
      </c>
      <c r="N1" s="6" t="s">
        <v>174</v>
      </c>
      <c r="O1" s="6" t="s">
        <v>173</v>
      </c>
      <c r="P1" s="6" t="s">
        <v>172</v>
      </c>
    </row>
    <row r="2" spans="1:16">
      <c r="A2" s="5" t="s">
        <v>171</v>
      </c>
      <c r="B2" s="5" t="s">
        <v>156</v>
      </c>
      <c r="C2" s="5">
        <v>2023</v>
      </c>
      <c r="D2" s="5" t="s">
        <v>170</v>
      </c>
      <c r="E2" s="5" t="s">
        <v>154</v>
      </c>
      <c r="F2" s="5" t="s">
        <v>153</v>
      </c>
      <c r="G2" s="5" t="s">
        <v>152</v>
      </c>
      <c r="H2" s="18">
        <v>1157</v>
      </c>
      <c r="I2" s="18">
        <v>0.1</v>
      </c>
      <c r="J2" s="18">
        <v>1.4E-2</v>
      </c>
      <c r="K2" s="18">
        <v>0.52780000000000005</v>
      </c>
      <c r="L2" s="5" t="s">
        <v>151</v>
      </c>
      <c r="M2" s="5" t="s">
        <v>169</v>
      </c>
      <c r="N2" s="5" t="s">
        <v>149</v>
      </c>
      <c r="O2" s="5" t="s">
        <v>168</v>
      </c>
      <c r="P2" s="5" t="s">
        <v>167</v>
      </c>
    </row>
    <row r="3" spans="1:16">
      <c r="A3" s="5" t="s">
        <v>166</v>
      </c>
      <c r="B3" s="5" t="s">
        <v>156</v>
      </c>
      <c r="C3" s="5">
        <v>2023</v>
      </c>
      <c r="D3" s="5" t="s">
        <v>165</v>
      </c>
      <c r="E3" s="5" t="s">
        <v>154</v>
      </c>
      <c r="F3" s="5" t="s">
        <v>153</v>
      </c>
      <c r="G3" s="5" t="s">
        <v>152</v>
      </c>
      <c r="H3" s="18">
        <v>920.1</v>
      </c>
      <c r="I3" s="18">
        <v>9.7000000000000003E-2</v>
      </c>
      <c r="J3" s="18">
        <v>1.4E-2</v>
      </c>
      <c r="K3" s="18">
        <v>0.42029899999999998</v>
      </c>
      <c r="L3" s="5" t="s">
        <v>151</v>
      </c>
      <c r="M3" s="5" t="s">
        <v>164</v>
      </c>
      <c r="N3" s="5" t="s">
        <v>149</v>
      </c>
      <c r="O3" s="5" t="s">
        <v>163</v>
      </c>
      <c r="P3" s="5" t="s">
        <v>158</v>
      </c>
    </row>
    <row r="4" spans="1:16">
      <c r="A4" s="5" t="s">
        <v>162</v>
      </c>
      <c r="B4" s="5" t="s">
        <v>156</v>
      </c>
      <c r="C4" s="5">
        <v>2023</v>
      </c>
      <c r="D4" s="5" t="s">
        <v>161</v>
      </c>
      <c r="E4" s="5" t="s">
        <v>154</v>
      </c>
      <c r="F4" s="5" t="s">
        <v>153</v>
      </c>
      <c r="G4" s="5" t="s">
        <v>152</v>
      </c>
      <c r="H4" s="18">
        <v>911.4</v>
      </c>
      <c r="I4" s="18">
        <v>7.0999999999999994E-2</v>
      </c>
      <c r="J4" s="18">
        <v>0.01</v>
      </c>
      <c r="K4" s="18">
        <v>0.41553600000000002</v>
      </c>
      <c r="L4" s="5" t="s">
        <v>151</v>
      </c>
      <c r="M4" s="5" t="s">
        <v>160</v>
      </c>
      <c r="N4" s="5" t="s">
        <v>149</v>
      </c>
      <c r="O4" s="5" t="s">
        <v>159</v>
      </c>
      <c r="P4" s="5" t="s">
        <v>158</v>
      </c>
    </row>
    <row r="5" spans="1:16">
      <c r="A5" s="5" t="s">
        <v>157</v>
      </c>
      <c r="B5" s="5" t="s">
        <v>156</v>
      </c>
      <c r="C5" s="5">
        <v>2023</v>
      </c>
      <c r="D5" s="5" t="s">
        <v>155</v>
      </c>
      <c r="E5" s="5" t="s">
        <v>154</v>
      </c>
      <c r="F5" s="5" t="s">
        <v>153</v>
      </c>
      <c r="G5" s="5" t="s">
        <v>152</v>
      </c>
      <c r="H5" s="18">
        <v>767.2</v>
      </c>
      <c r="I5" s="18">
        <v>5.7000000000000002E-2</v>
      </c>
      <c r="J5" s="18">
        <v>8.0000000000000002E-3</v>
      </c>
      <c r="K5" s="18">
        <v>0.34967399999999998</v>
      </c>
      <c r="L5" s="5" t="s">
        <v>151</v>
      </c>
      <c r="M5" s="5" t="s">
        <v>150</v>
      </c>
      <c r="N5" s="5" t="s">
        <v>149</v>
      </c>
      <c r="O5" s="5" t="s">
        <v>148</v>
      </c>
      <c r="P5" s="5" t="s">
        <v>147</v>
      </c>
    </row>
    <row r="6" spans="1:16">
      <c r="A6" s="5" t="s">
        <v>146</v>
      </c>
      <c r="B6" s="5" t="s">
        <v>137</v>
      </c>
      <c r="C6" s="5">
        <v>2025</v>
      </c>
      <c r="D6" s="5" t="s">
        <v>136</v>
      </c>
      <c r="E6" s="5" t="s">
        <v>145</v>
      </c>
      <c r="F6" s="5" t="s">
        <v>144</v>
      </c>
      <c r="G6" s="5" t="s">
        <v>143</v>
      </c>
      <c r="H6" s="18">
        <v>5.306</v>
      </c>
      <c r="I6" s="18">
        <v>1E-4</v>
      </c>
      <c r="J6" s="18">
        <v>1.0000000000000001E-5</v>
      </c>
      <c r="K6" s="18">
        <v>5.3114499999999998</v>
      </c>
      <c r="L6" s="5" t="s">
        <v>142</v>
      </c>
      <c r="M6" s="5" t="s">
        <v>141</v>
      </c>
      <c r="N6" s="5" t="s">
        <v>130</v>
      </c>
      <c r="O6" s="5" t="s">
        <v>140</v>
      </c>
      <c r="P6" s="5" t="s">
        <v>139</v>
      </c>
    </row>
    <row r="7" spans="1:16">
      <c r="A7" s="5" t="s">
        <v>138</v>
      </c>
      <c r="B7" s="5" t="s">
        <v>137</v>
      </c>
      <c r="C7" s="5">
        <v>2025</v>
      </c>
      <c r="D7" s="5" t="s">
        <v>136</v>
      </c>
      <c r="E7" s="5" t="s">
        <v>135</v>
      </c>
      <c r="F7" s="5" t="s">
        <v>134</v>
      </c>
      <c r="G7" s="5" t="s">
        <v>133</v>
      </c>
      <c r="H7" s="18">
        <v>66.33</v>
      </c>
      <c r="I7" s="18">
        <v>1.25E-3</v>
      </c>
      <c r="J7" s="18">
        <v>1.25E-4</v>
      </c>
      <c r="K7" s="18">
        <v>66.398124999999993</v>
      </c>
      <c r="L7" s="5" t="s">
        <v>132</v>
      </c>
      <c r="M7" s="5" t="s">
        <v>131</v>
      </c>
      <c r="N7" s="5" t="s">
        <v>130</v>
      </c>
      <c r="O7" s="5" t="s">
        <v>129</v>
      </c>
      <c r="P7" s="5" t="s">
        <v>128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2491-A982-4988-9F06-253403530825}">
  <dimension ref="A1:K11"/>
  <sheetViews>
    <sheetView workbookViewId="0">
      <selection activeCell="G15" sqref="G15"/>
    </sheetView>
  </sheetViews>
  <sheetFormatPr defaultRowHeight="14.25"/>
  <cols>
    <col min="1" max="1" width="32" style="5" customWidth="1"/>
    <col min="2" max="2" width="18.28515625" style="5" customWidth="1"/>
    <col min="3" max="3" width="27.42578125" style="5" customWidth="1"/>
    <col min="4" max="4" width="41.140625" style="5" customWidth="1"/>
    <col min="5" max="5" width="16" style="5" customWidth="1"/>
    <col min="6" max="6" width="20.5703125" style="5" customWidth="1"/>
    <col min="7" max="7" width="38.85546875" style="5" customWidth="1"/>
    <col min="8" max="8" width="13.7109375" style="5" customWidth="1"/>
    <col min="9" max="9" width="64" style="5" customWidth="1"/>
    <col min="10" max="10" width="59.42578125" style="5" customWidth="1"/>
    <col min="11" max="11" width="66.28515625" style="5" customWidth="1"/>
    <col min="12" max="16384" width="9.140625" style="5"/>
  </cols>
  <sheetData>
    <row r="1" spans="1:11" ht="30">
      <c r="A1" s="6" t="s">
        <v>188</v>
      </c>
      <c r="B1" s="6" t="s">
        <v>189</v>
      </c>
      <c r="C1" s="6" t="s">
        <v>10</v>
      </c>
      <c r="D1" s="6" t="s">
        <v>190</v>
      </c>
      <c r="E1" s="6" t="s">
        <v>191</v>
      </c>
      <c r="F1" s="6" t="s">
        <v>192</v>
      </c>
      <c r="G1" s="6" t="s">
        <v>186</v>
      </c>
      <c r="H1" s="6" t="s">
        <v>185</v>
      </c>
      <c r="I1" s="6" t="s">
        <v>174</v>
      </c>
      <c r="J1" s="6" t="s">
        <v>193</v>
      </c>
      <c r="K1" s="6" t="s">
        <v>95</v>
      </c>
    </row>
    <row r="2" spans="1:11" ht="28.5">
      <c r="A2" s="19" t="s">
        <v>194</v>
      </c>
      <c r="B2" s="19" t="s">
        <v>195</v>
      </c>
      <c r="C2" s="19" t="s">
        <v>196</v>
      </c>
      <c r="D2" s="19" t="s">
        <v>197</v>
      </c>
      <c r="E2" s="20">
        <v>118.1</v>
      </c>
      <c r="F2" s="19" t="s">
        <v>198</v>
      </c>
      <c r="G2" s="19" t="s">
        <v>199</v>
      </c>
      <c r="H2" s="21">
        <v>2024</v>
      </c>
      <c r="I2" s="19" t="s">
        <v>81</v>
      </c>
      <c r="J2" s="19" t="s">
        <v>200</v>
      </c>
      <c r="K2" s="19" t="s">
        <v>201</v>
      </c>
    </row>
    <row r="3" spans="1:11" ht="28.5">
      <c r="A3" s="19" t="s">
        <v>202</v>
      </c>
      <c r="B3" s="19" t="s">
        <v>195</v>
      </c>
      <c r="C3" s="19" t="s">
        <v>196</v>
      </c>
      <c r="D3" s="19" t="s">
        <v>203</v>
      </c>
      <c r="E3" s="20">
        <v>59.6</v>
      </c>
      <c r="F3" s="19" t="s">
        <v>198</v>
      </c>
      <c r="G3" s="19" t="s">
        <v>199</v>
      </c>
      <c r="H3" s="21">
        <v>2024</v>
      </c>
      <c r="I3" s="19" t="s">
        <v>81</v>
      </c>
      <c r="J3" s="19" t="s">
        <v>204</v>
      </c>
      <c r="K3" s="19" t="s">
        <v>201</v>
      </c>
    </row>
    <row r="4" spans="1:11" ht="28.5">
      <c r="A4" s="19" t="s">
        <v>205</v>
      </c>
      <c r="B4" s="19" t="s">
        <v>206</v>
      </c>
      <c r="C4" s="19" t="s">
        <v>196</v>
      </c>
      <c r="D4" s="19" t="s">
        <v>207</v>
      </c>
      <c r="E4" s="20"/>
      <c r="F4" s="19" t="s">
        <v>208</v>
      </c>
      <c r="G4" s="19" t="s">
        <v>209</v>
      </c>
      <c r="H4" s="21">
        <v>2024</v>
      </c>
      <c r="I4" s="19" t="s">
        <v>81</v>
      </c>
      <c r="J4" s="19" t="s">
        <v>210</v>
      </c>
      <c r="K4" s="19" t="s">
        <v>211</v>
      </c>
    </row>
    <row r="5" spans="1:11" ht="28.5">
      <c r="A5" s="19" t="s">
        <v>212</v>
      </c>
      <c r="B5" s="19" t="s">
        <v>213</v>
      </c>
      <c r="C5" s="19" t="s">
        <v>196</v>
      </c>
      <c r="D5" s="19" t="s">
        <v>214</v>
      </c>
      <c r="E5" s="20">
        <v>50</v>
      </c>
      <c r="F5" s="19" t="s">
        <v>198</v>
      </c>
      <c r="G5" s="19" t="s">
        <v>215</v>
      </c>
      <c r="H5" s="21">
        <v>2026</v>
      </c>
      <c r="I5" s="19" t="s">
        <v>81</v>
      </c>
      <c r="J5" s="19" t="s">
        <v>216</v>
      </c>
      <c r="K5" s="19" t="s">
        <v>217</v>
      </c>
    </row>
    <row r="6" spans="1:11" ht="28.5">
      <c r="A6" s="19" t="s">
        <v>218</v>
      </c>
      <c r="B6" s="19" t="s">
        <v>219</v>
      </c>
      <c r="C6" s="19" t="s">
        <v>196</v>
      </c>
      <c r="D6" s="19" t="s">
        <v>220</v>
      </c>
      <c r="E6" s="20">
        <v>70</v>
      </c>
      <c r="F6" s="19" t="s">
        <v>198</v>
      </c>
      <c r="G6" s="19" t="s">
        <v>221</v>
      </c>
      <c r="H6" s="21">
        <v>2026</v>
      </c>
      <c r="I6" s="19" t="s">
        <v>81</v>
      </c>
      <c r="J6" s="19" t="s">
        <v>222</v>
      </c>
      <c r="K6" s="19" t="s">
        <v>223</v>
      </c>
    </row>
    <row r="7" spans="1:11" ht="28.5">
      <c r="A7" s="19" t="s">
        <v>224</v>
      </c>
      <c r="B7" s="19" t="s">
        <v>225</v>
      </c>
      <c r="C7" s="19" t="s">
        <v>226</v>
      </c>
      <c r="D7" s="19" t="s">
        <v>227</v>
      </c>
      <c r="E7" s="20">
        <v>0.95</v>
      </c>
      <c r="F7" s="19" t="s">
        <v>228</v>
      </c>
      <c r="G7" s="19" t="s">
        <v>229</v>
      </c>
      <c r="H7" s="21">
        <v>2026</v>
      </c>
      <c r="I7" s="19" t="s">
        <v>230</v>
      </c>
      <c r="J7" s="19" t="s">
        <v>231</v>
      </c>
      <c r="K7" s="19" t="s">
        <v>232</v>
      </c>
    </row>
    <row r="8" spans="1:11" ht="42.75">
      <c r="A8" s="19" t="s">
        <v>233</v>
      </c>
      <c r="B8" s="19" t="s">
        <v>225</v>
      </c>
      <c r="C8" s="19" t="s">
        <v>226</v>
      </c>
      <c r="D8" s="19" t="s">
        <v>234</v>
      </c>
      <c r="E8" s="20">
        <v>0.75</v>
      </c>
      <c r="F8" s="19" t="s">
        <v>235</v>
      </c>
      <c r="G8" s="19" t="s">
        <v>229</v>
      </c>
      <c r="H8" s="21">
        <v>2026</v>
      </c>
      <c r="I8" s="19" t="s">
        <v>230</v>
      </c>
      <c r="J8" s="19" t="s">
        <v>236</v>
      </c>
      <c r="K8" s="19" t="s">
        <v>237</v>
      </c>
    </row>
    <row r="9" spans="1:11" ht="28.5">
      <c r="A9" s="19" t="s">
        <v>238</v>
      </c>
      <c r="B9" s="19" t="s">
        <v>239</v>
      </c>
      <c r="C9" s="19" t="s">
        <v>196</v>
      </c>
      <c r="D9" s="19" t="s">
        <v>240</v>
      </c>
      <c r="E9" s="20">
        <v>45000</v>
      </c>
      <c r="F9" s="19" t="s">
        <v>241</v>
      </c>
      <c r="G9" s="19" t="s">
        <v>242</v>
      </c>
      <c r="H9" s="21">
        <v>2026</v>
      </c>
      <c r="I9" s="19" t="s">
        <v>243</v>
      </c>
      <c r="J9" s="19" t="s">
        <v>244</v>
      </c>
      <c r="K9" s="19" t="s">
        <v>245</v>
      </c>
    </row>
    <row r="10" spans="1:11" ht="28.5">
      <c r="A10" s="19" t="s">
        <v>246</v>
      </c>
      <c r="B10" s="19" t="s">
        <v>247</v>
      </c>
      <c r="C10" s="19" t="s">
        <v>196</v>
      </c>
      <c r="D10" s="19" t="s">
        <v>248</v>
      </c>
      <c r="E10" s="20">
        <v>0.3</v>
      </c>
      <c r="F10" s="19" t="s">
        <v>249</v>
      </c>
      <c r="G10" s="19" t="s">
        <v>242</v>
      </c>
      <c r="H10" s="21">
        <v>2026</v>
      </c>
      <c r="I10" s="19" t="s">
        <v>250</v>
      </c>
      <c r="J10" s="19" t="s">
        <v>251</v>
      </c>
      <c r="K10" s="19" t="s">
        <v>252</v>
      </c>
    </row>
    <row r="11" spans="1:11" ht="28.5">
      <c r="A11" s="19" t="s">
        <v>253</v>
      </c>
      <c r="B11" s="19" t="s">
        <v>254</v>
      </c>
      <c r="C11" s="19" t="s">
        <v>196</v>
      </c>
      <c r="D11" s="19" t="s">
        <v>255</v>
      </c>
      <c r="E11" s="20">
        <v>6.0000000000000001E-3</v>
      </c>
      <c r="F11" s="19" t="s">
        <v>256</v>
      </c>
      <c r="G11" s="19" t="s">
        <v>257</v>
      </c>
      <c r="H11" s="21">
        <v>2026</v>
      </c>
      <c r="I11" s="19" t="s">
        <v>258</v>
      </c>
      <c r="J11" s="19" t="s">
        <v>259</v>
      </c>
      <c r="K11" s="19" t="s">
        <v>260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AA6C-2870-4134-B4F8-4256B0F9C06E}">
  <dimension ref="A1:V14"/>
  <sheetViews>
    <sheetView workbookViewId="0">
      <selection sqref="A1:V1"/>
    </sheetView>
  </sheetViews>
  <sheetFormatPr defaultRowHeight="14.25"/>
  <cols>
    <col min="1" max="1" width="10.85546875" style="5" customWidth="1"/>
    <col min="2" max="2" width="22" style="5" customWidth="1"/>
    <col min="3" max="4" width="10" style="5" customWidth="1"/>
    <col min="5" max="5" width="4.85546875" style="5" customWidth="1"/>
    <col min="6" max="6" width="12.42578125" style="5" customWidth="1"/>
    <col min="7" max="7" width="14.85546875" style="5" customWidth="1"/>
    <col min="8" max="8" width="39.5703125" style="5" customWidth="1"/>
    <col min="9" max="9" width="11.85546875" style="5" customWidth="1"/>
    <col min="10" max="10" width="19.5703125" style="5" customWidth="1"/>
    <col min="11" max="11" width="19.42578125" style="5" customWidth="1"/>
    <col min="12" max="12" width="22.28515625" style="5" customWidth="1"/>
    <col min="13" max="13" width="22" style="5" customWidth="1"/>
    <col min="14" max="14" width="30.28515625" style="5" customWidth="1"/>
    <col min="15" max="15" width="21.5703125" style="5" customWidth="1"/>
    <col min="16" max="16" width="16" style="5" customWidth="1"/>
    <col min="17" max="17" width="93.85546875" style="5" customWidth="1"/>
    <col min="18" max="18" width="21.7109375" style="5" customWidth="1"/>
    <col min="19" max="19" width="24.85546875" style="5" customWidth="1"/>
    <col min="20" max="20" width="36.140625" style="5" customWidth="1"/>
    <col min="21" max="21" width="26.5703125" style="5" customWidth="1"/>
    <col min="22" max="22" width="74.42578125" style="5" customWidth="1"/>
    <col min="23" max="16384" width="9.140625" style="5"/>
  </cols>
  <sheetData>
    <row r="1" spans="1:22" ht="18">
      <c r="A1" s="26" t="s">
        <v>303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25" t="s">
        <v>302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2" ht="30">
      <c r="A4" s="24" t="s">
        <v>0</v>
      </c>
      <c r="B4" s="24" t="s">
        <v>1</v>
      </c>
      <c r="C4" s="24" t="s">
        <v>2</v>
      </c>
      <c r="D4" s="24" t="s">
        <v>4</v>
      </c>
      <c r="E4" s="24" t="s">
        <v>3</v>
      </c>
      <c r="F4" s="24" t="s">
        <v>301</v>
      </c>
      <c r="G4" s="24" t="s">
        <v>300</v>
      </c>
      <c r="H4" s="24" t="s">
        <v>299</v>
      </c>
      <c r="I4" s="24" t="s">
        <v>298</v>
      </c>
      <c r="J4" s="24" t="s">
        <v>297</v>
      </c>
      <c r="K4" s="24" t="s">
        <v>296</v>
      </c>
      <c r="L4" s="24" t="s">
        <v>295</v>
      </c>
      <c r="M4" s="24" t="s">
        <v>294</v>
      </c>
      <c r="N4" s="24" t="s">
        <v>293</v>
      </c>
      <c r="O4" s="24" t="s">
        <v>292</v>
      </c>
      <c r="P4" s="24" t="s">
        <v>291</v>
      </c>
      <c r="Q4" s="24" t="s">
        <v>290</v>
      </c>
      <c r="R4" s="24" t="s">
        <v>289</v>
      </c>
      <c r="S4" s="24" t="s">
        <v>288</v>
      </c>
      <c r="T4" s="24" t="s">
        <v>185</v>
      </c>
      <c r="U4" s="24" t="s">
        <v>186</v>
      </c>
      <c r="V4" s="24" t="s">
        <v>174</v>
      </c>
    </row>
    <row r="5" spans="1:22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270</v>
      </c>
      <c r="G5" s="5" t="s">
        <v>267</v>
      </c>
      <c r="H5" s="22">
        <v>89975</v>
      </c>
      <c r="I5" s="23">
        <v>9.9000000000000005E-2</v>
      </c>
      <c r="J5" s="23">
        <v>0.57099999999999995</v>
      </c>
      <c r="K5" s="23">
        <v>0.42899999999999999</v>
      </c>
      <c r="L5" s="23">
        <v>4.7E-2</v>
      </c>
      <c r="M5" s="23">
        <v>0.16900000000000001</v>
      </c>
      <c r="N5" s="23">
        <v>0.115</v>
      </c>
      <c r="O5" s="22">
        <v>1398</v>
      </c>
      <c r="Q5" s="5" t="s">
        <v>266</v>
      </c>
      <c r="R5" s="5" t="s">
        <v>265</v>
      </c>
      <c r="S5" s="5" t="s">
        <v>264</v>
      </c>
      <c r="T5" s="5" t="s">
        <v>263</v>
      </c>
      <c r="U5" s="5" t="s">
        <v>262</v>
      </c>
      <c r="V5" s="5" t="s">
        <v>269</v>
      </c>
    </row>
    <row r="6" spans="1:22">
      <c r="A6" s="5" t="s">
        <v>28</v>
      </c>
      <c r="B6" s="5" t="s">
        <v>29</v>
      </c>
      <c r="C6" s="5" t="s">
        <v>30</v>
      </c>
      <c r="D6" s="5" t="s">
        <v>30</v>
      </c>
      <c r="E6" s="5" t="s">
        <v>26</v>
      </c>
      <c r="F6" s="5" t="s">
        <v>287</v>
      </c>
      <c r="G6" s="5" t="s">
        <v>267</v>
      </c>
      <c r="H6" s="22">
        <v>64435</v>
      </c>
      <c r="I6" s="23">
        <v>0.16800000000000001</v>
      </c>
      <c r="J6" s="23">
        <v>0.499</v>
      </c>
      <c r="K6" s="23">
        <v>0.501</v>
      </c>
      <c r="L6" s="23">
        <v>6.0999999999999999E-2</v>
      </c>
      <c r="M6" s="23">
        <v>0.16200000000000001</v>
      </c>
      <c r="N6" s="23">
        <v>0.186</v>
      </c>
      <c r="O6" s="22">
        <v>1101</v>
      </c>
      <c r="Q6" s="5" t="s">
        <v>266</v>
      </c>
      <c r="R6" s="5" t="s">
        <v>286</v>
      </c>
      <c r="S6" s="5" t="s">
        <v>272</v>
      </c>
      <c r="T6" s="5" t="s">
        <v>263</v>
      </c>
      <c r="U6" s="5" t="s">
        <v>262</v>
      </c>
      <c r="V6" s="5" t="s">
        <v>285</v>
      </c>
    </row>
    <row r="7" spans="1:22">
      <c r="A7" s="5" t="s">
        <v>31</v>
      </c>
      <c r="B7" s="5" t="s">
        <v>32</v>
      </c>
      <c r="C7" s="5" t="s">
        <v>33</v>
      </c>
      <c r="D7" s="5" t="s">
        <v>34</v>
      </c>
      <c r="E7" s="5" t="s">
        <v>26</v>
      </c>
      <c r="F7" s="5" t="s">
        <v>284</v>
      </c>
      <c r="G7" s="5" t="s">
        <v>267</v>
      </c>
      <c r="H7" s="22">
        <v>79649</v>
      </c>
      <c r="I7" s="23">
        <v>8.2000000000000003E-2</v>
      </c>
      <c r="J7" s="23">
        <v>0.66</v>
      </c>
      <c r="K7" s="23">
        <v>0.34</v>
      </c>
      <c r="L7" s="23">
        <v>5.3999999999999999E-2</v>
      </c>
      <c r="M7" s="23">
        <v>0.184</v>
      </c>
      <c r="N7" s="23">
        <v>0.10199999999999999</v>
      </c>
      <c r="O7" s="22">
        <v>1031</v>
      </c>
      <c r="Q7" s="5" t="s">
        <v>266</v>
      </c>
      <c r="R7" s="5" t="s">
        <v>265</v>
      </c>
      <c r="S7" s="5" t="s">
        <v>264</v>
      </c>
      <c r="T7" s="5" t="s">
        <v>263</v>
      </c>
      <c r="U7" s="5" t="s">
        <v>262</v>
      </c>
      <c r="V7" s="5" t="s">
        <v>283</v>
      </c>
    </row>
    <row r="8" spans="1:22">
      <c r="A8" s="5" t="s">
        <v>35</v>
      </c>
      <c r="B8" s="5" t="s">
        <v>36</v>
      </c>
      <c r="C8" s="5" t="s">
        <v>37</v>
      </c>
      <c r="D8" s="5" t="s">
        <v>38</v>
      </c>
      <c r="E8" s="5" t="s">
        <v>26</v>
      </c>
      <c r="F8" s="5" t="s">
        <v>282</v>
      </c>
      <c r="G8" s="5" t="s">
        <v>267</v>
      </c>
      <c r="H8" s="22">
        <v>77884</v>
      </c>
      <c r="I8" s="23">
        <v>7.4999999999999997E-2</v>
      </c>
      <c r="J8" s="23">
        <v>0.73299999999999998</v>
      </c>
      <c r="K8" s="23">
        <v>0.26700000000000002</v>
      </c>
      <c r="L8" s="23">
        <v>5.1999999999999998E-2</v>
      </c>
      <c r="M8" s="23">
        <v>0.214</v>
      </c>
      <c r="N8" s="23">
        <v>7.5999999999999998E-2</v>
      </c>
      <c r="O8" s="22">
        <v>999</v>
      </c>
      <c r="Q8" s="5" t="s">
        <v>266</v>
      </c>
      <c r="R8" s="5" t="s">
        <v>275</v>
      </c>
      <c r="S8" s="5" t="s">
        <v>264</v>
      </c>
      <c r="T8" s="5" t="s">
        <v>263</v>
      </c>
      <c r="U8" s="5" t="s">
        <v>262</v>
      </c>
      <c r="V8" s="5" t="s">
        <v>281</v>
      </c>
    </row>
    <row r="9" spans="1:22">
      <c r="A9" s="5" t="s">
        <v>39</v>
      </c>
      <c r="B9" s="5" t="s">
        <v>40</v>
      </c>
      <c r="C9" s="5" t="s">
        <v>41</v>
      </c>
      <c r="D9" s="5" t="s">
        <v>41</v>
      </c>
      <c r="E9" s="5" t="s">
        <v>26</v>
      </c>
      <c r="F9" s="5" t="s">
        <v>280</v>
      </c>
      <c r="G9" s="5" t="s">
        <v>267</v>
      </c>
      <c r="H9" s="22">
        <v>74546</v>
      </c>
      <c r="I9" s="23">
        <v>0.108</v>
      </c>
      <c r="J9" s="23">
        <v>0.61</v>
      </c>
      <c r="K9" s="23">
        <v>0.39</v>
      </c>
      <c r="L9" s="23">
        <v>4.5999999999999999E-2</v>
      </c>
      <c r="M9" s="23">
        <v>0.189</v>
      </c>
      <c r="N9" s="23">
        <v>6.7000000000000004E-2</v>
      </c>
      <c r="O9" s="22">
        <v>1064</v>
      </c>
      <c r="Q9" s="5" t="s">
        <v>266</v>
      </c>
      <c r="R9" s="5" t="s">
        <v>265</v>
      </c>
      <c r="S9" s="5" t="s">
        <v>272</v>
      </c>
      <c r="T9" s="5" t="s">
        <v>263</v>
      </c>
      <c r="U9" s="5" t="s">
        <v>262</v>
      </c>
      <c r="V9" s="5" t="s">
        <v>279</v>
      </c>
    </row>
    <row r="10" spans="1:22">
      <c r="A10" s="5" t="s">
        <v>42</v>
      </c>
      <c r="B10" s="5" t="s">
        <v>43</v>
      </c>
      <c r="C10" s="5" t="s">
        <v>44</v>
      </c>
      <c r="D10" s="5" t="s">
        <v>44</v>
      </c>
      <c r="E10" s="5" t="s">
        <v>26</v>
      </c>
      <c r="F10" s="5" t="s">
        <v>278</v>
      </c>
      <c r="G10" s="5" t="s">
        <v>267</v>
      </c>
      <c r="H10" s="22">
        <v>78096</v>
      </c>
      <c r="I10" s="23">
        <v>0.11700000000000001</v>
      </c>
      <c r="J10" s="23">
        <v>0.71</v>
      </c>
      <c r="K10" s="23">
        <v>0.28999999999999998</v>
      </c>
      <c r="L10" s="23">
        <v>5.3999999999999999E-2</v>
      </c>
      <c r="M10" s="23">
        <v>0.20200000000000001</v>
      </c>
      <c r="N10" s="23">
        <v>9.0999999999999998E-2</v>
      </c>
      <c r="O10" s="22">
        <v>1080</v>
      </c>
      <c r="Q10" s="5" t="s">
        <v>266</v>
      </c>
      <c r="R10" s="5" t="s">
        <v>265</v>
      </c>
      <c r="S10" s="5" t="s">
        <v>264</v>
      </c>
      <c r="T10" s="5" t="s">
        <v>263</v>
      </c>
      <c r="U10" s="5" t="s">
        <v>262</v>
      </c>
      <c r="V10" s="5" t="s">
        <v>277</v>
      </c>
    </row>
    <row r="11" spans="1:22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26</v>
      </c>
      <c r="F11" s="5" t="s">
        <v>276</v>
      </c>
      <c r="G11" s="5" t="s">
        <v>267</v>
      </c>
      <c r="H11" s="22">
        <v>85069</v>
      </c>
      <c r="I11" s="23">
        <v>6.6000000000000003E-2</v>
      </c>
      <c r="J11" s="23">
        <v>0.71499999999999997</v>
      </c>
      <c r="K11" s="23">
        <v>0.28499999999999998</v>
      </c>
      <c r="L11" s="23">
        <v>5.2999999999999999E-2</v>
      </c>
      <c r="M11" s="23">
        <v>0.186</v>
      </c>
      <c r="N11" s="23">
        <v>7.5999999999999998E-2</v>
      </c>
      <c r="O11" s="22">
        <v>1057</v>
      </c>
      <c r="Q11" s="5" t="s">
        <v>266</v>
      </c>
      <c r="R11" s="5" t="s">
        <v>275</v>
      </c>
      <c r="S11" s="5" t="s">
        <v>264</v>
      </c>
      <c r="T11" s="5" t="s">
        <v>263</v>
      </c>
      <c r="U11" s="5" t="s">
        <v>262</v>
      </c>
      <c r="V11" s="5" t="s">
        <v>274</v>
      </c>
    </row>
    <row r="12" spans="1:22">
      <c r="A12" s="5" t="s">
        <v>49</v>
      </c>
      <c r="B12" s="5" t="s">
        <v>50</v>
      </c>
      <c r="C12" s="5" t="s">
        <v>51</v>
      </c>
      <c r="D12" s="5" t="s">
        <v>51</v>
      </c>
      <c r="E12" s="5" t="s">
        <v>26</v>
      </c>
      <c r="F12" s="5" t="s">
        <v>273</v>
      </c>
      <c r="G12" s="5" t="s">
        <v>267</v>
      </c>
      <c r="H12" s="22">
        <v>73013</v>
      </c>
      <c r="I12" s="23">
        <v>0.113</v>
      </c>
      <c r="J12" s="23">
        <v>0.622</v>
      </c>
      <c r="K12" s="23">
        <v>0.378</v>
      </c>
      <c r="L12" s="23">
        <v>4.4999999999999998E-2</v>
      </c>
      <c r="M12" s="23">
        <v>0.20300000000000001</v>
      </c>
      <c r="N12" s="23">
        <v>6.7000000000000004E-2</v>
      </c>
      <c r="O12" s="22">
        <v>1059</v>
      </c>
      <c r="Q12" s="5" t="s">
        <v>266</v>
      </c>
      <c r="R12" s="5" t="s">
        <v>265</v>
      </c>
      <c r="S12" s="5" t="s">
        <v>272</v>
      </c>
      <c r="T12" s="5" t="s">
        <v>263</v>
      </c>
      <c r="U12" s="5" t="s">
        <v>262</v>
      </c>
      <c r="V12" s="5" t="s">
        <v>271</v>
      </c>
    </row>
    <row r="13" spans="1:22">
      <c r="A13" s="5" t="s">
        <v>52</v>
      </c>
      <c r="B13" s="5" t="s">
        <v>53</v>
      </c>
      <c r="C13" s="5" t="s">
        <v>24</v>
      </c>
      <c r="D13" s="5" t="s">
        <v>25</v>
      </c>
      <c r="E13" s="5" t="s">
        <v>26</v>
      </c>
      <c r="F13" s="5" t="s">
        <v>270</v>
      </c>
      <c r="G13" s="5" t="s">
        <v>267</v>
      </c>
      <c r="H13" s="22">
        <v>89975</v>
      </c>
      <c r="I13" s="23">
        <v>9.9000000000000005E-2</v>
      </c>
      <c r="J13" s="23">
        <v>0.57099999999999995</v>
      </c>
      <c r="K13" s="23">
        <v>0.42899999999999999</v>
      </c>
      <c r="L13" s="23">
        <v>4.7E-2</v>
      </c>
      <c r="M13" s="23">
        <v>0.16900000000000001</v>
      </c>
      <c r="N13" s="23">
        <v>0.115</v>
      </c>
      <c r="O13" s="22">
        <v>1398</v>
      </c>
      <c r="Q13" s="5" t="s">
        <v>266</v>
      </c>
      <c r="R13" s="5" t="s">
        <v>265</v>
      </c>
      <c r="S13" s="5" t="s">
        <v>264</v>
      </c>
      <c r="T13" s="5" t="s">
        <v>263</v>
      </c>
      <c r="U13" s="5" t="s">
        <v>262</v>
      </c>
      <c r="V13" s="5" t="s">
        <v>269</v>
      </c>
    </row>
    <row r="14" spans="1:22">
      <c r="A14" s="5" t="s">
        <v>54</v>
      </c>
      <c r="B14" s="5" t="s">
        <v>55</v>
      </c>
      <c r="C14" s="5" t="s">
        <v>56</v>
      </c>
      <c r="D14" s="5" t="s">
        <v>56</v>
      </c>
      <c r="E14" s="5" t="s">
        <v>26</v>
      </c>
      <c r="F14" s="5" t="s">
        <v>268</v>
      </c>
      <c r="G14" s="5" t="s">
        <v>267</v>
      </c>
      <c r="H14" s="22">
        <v>81239</v>
      </c>
      <c r="I14" s="23">
        <v>9.8000000000000004E-2</v>
      </c>
      <c r="J14" s="23">
        <v>0.66700000000000004</v>
      </c>
      <c r="K14" s="23">
        <v>0.33300000000000002</v>
      </c>
      <c r="L14" s="23">
        <v>0.05</v>
      </c>
      <c r="M14" s="23">
        <v>0.184</v>
      </c>
      <c r="N14" s="23">
        <v>0.13100000000000001</v>
      </c>
      <c r="O14" s="22">
        <v>1219</v>
      </c>
      <c r="Q14" s="5" t="s">
        <v>266</v>
      </c>
      <c r="R14" s="5" t="s">
        <v>265</v>
      </c>
      <c r="S14" s="5" t="s">
        <v>264</v>
      </c>
      <c r="T14" s="5" t="s">
        <v>263</v>
      </c>
      <c r="U14" s="5" t="s">
        <v>262</v>
      </c>
      <c r="V14" s="5" t="s">
        <v>261</v>
      </c>
    </row>
  </sheetData>
  <mergeCells count="2">
    <mergeCell ref="A1:V1"/>
    <mergeCell ref="A2:V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0587-B7E5-452B-8FF4-3E67BA488186}">
  <dimension ref="A1:W11"/>
  <sheetViews>
    <sheetView workbookViewId="0">
      <selection activeCell="G26" sqref="G26"/>
    </sheetView>
  </sheetViews>
  <sheetFormatPr defaultRowHeight="14.25"/>
  <cols>
    <col min="1" max="1" width="16" style="5" customWidth="1"/>
    <col min="2" max="2" width="27.42578125" style="5" customWidth="1"/>
    <col min="3" max="4" width="18.28515625" style="5" customWidth="1"/>
    <col min="5" max="5" width="9.140625" style="5" customWidth="1"/>
    <col min="6" max="12" width="20.5703125" style="5" customWidth="1"/>
    <col min="13" max="13" width="9.140625" style="5"/>
    <col min="14" max="14" width="20.5703125" style="5" customWidth="1"/>
    <col min="15" max="15" width="9.140625" style="5"/>
    <col min="16" max="16" width="20.5703125" style="5" customWidth="1"/>
    <col min="17" max="17" width="9.140625" style="5"/>
    <col min="18" max="20" width="20.5703125" style="5" customWidth="1"/>
    <col min="21" max="21" width="32" style="5" customWidth="1"/>
    <col min="22" max="22" width="57.140625" style="5" customWidth="1"/>
    <col min="23" max="23" width="62.85546875" style="5" customWidth="1"/>
    <col min="24" max="16384" width="9.140625" style="5"/>
  </cols>
  <sheetData>
    <row r="1" spans="1:23" ht="45">
      <c r="A1" s="27" t="s">
        <v>0</v>
      </c>
      <c r="B1" s="27" t="s">
        <v>1</v>
      </c>
      <c r="C1" s="27" t="s">
        <v>2</v>
      </c>
      <c r="D1" s="27" t="s">
        <v>4</v>
      </c>
      <c r="E1" s="27" t="s">
        <v>3</v>
      </c>
      <c r="F1" s="27" t="s">
        <v>304</v>
      </c>
      <c r="G1" s="27" t="s">
        <v>305</v>
      </c>
      <c r="H1" s="27" t="s">
        <v>306</v>
      </c>
      <c r="I1" s="27" t="s">
        <v>307</v>
      </c>
      <c r="J1" s="27" t="s">
        <v>308</v>
      </c>
      <c r="K1" s="27" t="s">
        <v>309</v>
      </c>
      <c r="L1" s="27" t="s">
        <v>310</v>
      </c>
      <c r="M1" s="27" t="s">
        <v>311</v>
      </c>
      <c r="N1" s="27" t="s">
        <v>312</v>
      </c>
      <c r="O1" s="27" t="s">
        <v>313</v>
      </c>
      <c r="P1" s="27" t="s">
        <v>314</v>
      </c>
      <c r="Q1" s="27" t="s">
        <v>315</v>
      </c>
      <c r="R1" s="27" t="s">
        <v>316</v>
      </c>
      <c r="S1" s="27" t="s">
        <v>317</v>
      </c>
      <c r="T1" s="27" t="s">
        <v>318</v>
      </c>
      <c r="U1" s="27" t="s">
        <v>186</v>
      </c>
      <c r="V1" s="27" t="s">
        <v>174</v>
      </c>
      <c r="W1" s="27" t="s">
        <v>95</v>
      </c>
    </row>
    <row r="2" spans="1:23" ht="28.5">
      <c r="A2" s="19" t="s">
        <v>22</v>
      </c>
      <c r="B2" s="19" t="s">
        <v>23</v>
      </c>
      <c r="C2" s="19" t="s">
        <v>24</v>
      </c>
      <c r="D2" s="19" t="s">
        <v>25</v>
      </c>
      <c r="E2" s="19" t="s">
        <v>26</v>
      </c>
      <c r="F2" s="28">
        <v>93.9</v>
      </c>
      <c r="G2" s="19" t="s">
        <v>319</v>
      </c>
      <c r="H2" s="21">
        <v>94</v>
      </c>
      <c r="I2" s="21">
        <v>182</v>
      </c>
      <c r="J2" s="19" t="s">
        <v>320</v>
      </c>
      <c r="K2" s="19" t="s">
        <v>320</v>
      </c>
      <c r="L2" s="19" t="s">
        <v>321</v>
      </c>
      <c r="M2" s="19" t="s">
        <v>322</v>
      </c>
      <c r="N2" s="19" t="s">
        <v>323</v>
      </c>
      <c r="O2" s="19" t="s">
        <v>322</v>
      </c>
      <c r="P2" s="19" t="s">
        <v>320</v>
      </c>
      <c r="Q2" s="19" t="s">
        <v>320</v>
      </c>
      <c r="R2" s="19"/>
      <c r="S2" s="19" t="s">
        <v>267</v>
      </c>
      <c r="T2" s="19" t="s">
        <v>324</v>
      </c>
      <c r="U2" s="19" t="s">
        <v>325</v>
      </c>
      <c r="V2" s="19" t="s">
        <v>326</v>
      </c>
      <c r="W2" s="19" t="s">
        <v>327</v>
      </c>
    </row>
    <row r="3" spans="1:23" ht="28.5">
      <c r="A3" s="19" t="s">
        <v>28</v>
      </c>
      <c r="B3" s="19" t="s">
        <v>29</v>
      </c>
      <c r="C3" s="19" t="s">
        <v>30</v>
      </c>
      <c r="D3" s="19" t="s">
        <v>30</v>
      </c>
      <c r="E3" s="19" t="s">
        <v>26</v>
      </c>
      <c r="F3" s="28">
        <v>98.4</v>
      </c>
      <c r="G3" s="19" t="s">
        <v>322</v>
      </c>
      <c r="H3" s="21">
        <v>98</v>
      </c>
      <c r="I3" s="21">
        <v>342</v>
      </c>
      <c r="J3" s="19" t="s">
        <v>322</v>
      </c>
      <c r="K3" s="19" t="s">
        <v>328</v>
      </c>
      <c r="L3" s="19" t="s">
        <v>321</v>
      </c>
      <c r="M3" s="19" t="s">
        <v>328</v>
      </c>
      <c r="N3" s="19" t="s">
        <v>329</v>
      </c>
      <c r="O3" s="19" t="s">
        <v>322</v>
      </c>
      <c r="P3" s="19" t="s">
        <v>330</v>
      </c>
      <c r="Q3" s="19" t="s">
        <v>328</v>
      </c>
      <c r="R3" s="19">
        <v>1</v>
      </c>
      <c r="S3" s="19" t="s">
        <v>267</v>
      </c>
      <c r="T3" s="19" t="s">
        <v>324</v>
      </c>
      <c r="U3" s="19" t="s">
        <v>325</v>
      </c>
      <c r="V3" s="19" t="s">
        <v>331</v>
      </c>
      <c r="W3" s="19" t="s">
        <v>327</v>
      </c>
    </row>
    <row r="4" spans="1:23" ht="28.5">
      <c r="A4" s="19" t="s">
        <v>31</v>
      </c>
      <c r="B4" s="19" t="s">
        <v>32</v>
      </c>
      <c r="C4" s="19" t="s">
        <v>33</v>
      </c>
      <c r="D4" s="19" t="s">
        <v>34</v>
      </c>
      <c r="E4" s="19" t="s">
        <v>26</v>
      </c>
      <c r="F4" s="28">
        <v>90</v>
      </c>
      <c r="G4" s="19" t="s">
        <v>319</v>
      </c>
      <c r="H4" s="21">
        <v>90</v>
      </c>
      <c r="I4" s="21"/>
      <c r="J4" s="19" t="s">
        <v>320</v>
      </c>
      <c r="K4" s="19" t="s">
        <v>320</v>
      </c>
      <c r="L4" s="19" t="s">
        <v>321</v>
      </c>
      <c r="M4" s="19" t="s">
        <v>322</v>
      </c>
      <c r="N4" s="19" t="s">
        <v>323</v>
      </c>
      <c r="O4" s="19" t="s">
        <v>322</v>
      </c>
      <c r="P4" s="19" t="s">
        <v>332</v>
      </c>
      <c r="Q4" s="19" t="s">
        <v>322</v>
      </c>
      <c r="R4" s="19"/>
      <c r="S4" s="19" t="s">
        <v>267</v>
      </c>
      <c r="T4" s="19" t="s">
        <v>324</v>
      </c>
      <c r="U4" s="19" t="s">
        <v>325</v>
      </c>
      <c r="V4" s="19" t="s">
        <v>333</v>
      </c>
      <c r="W4" s="19" t="s">
        <v>327</v>
      </c>
    </row>
    <row r="5" spans="1:23" ht="28.5">
      <c r="A5" s="19" t="s">
        <v>35</v>
      </c>
      <c r="B5" s="19" t="s">
        <v>36</v>
      </c>
      <c r="C5" s="19" t="s">
        <v>37</v>
      </c>
      <c r="D5" s="19" t="s">
        <v>38</v>
      </c>
      <c r="E5" s="19" t="s">
        <v>26</v>
      </c>
      <c r="F5" s="28">
        <v>87.2</v>
      </c>
      <c r="G5" s="19" t="s">
        <v>319</v>
      </c>
      <c r="H5" s="21">
        <v>87</v>
      </c>
      <c r="I5" s="21"/>
      <c r="J5" s="19" t="s">
        <v>320</v>
      </c>
      <c r="K5" s="19" t="s">
        <v>320</v>
      </c>
      <c r="L5" s="19" t="s">
        <v>320</v>
      </c>
      <c r="M5" s="19" t="s">
        <v>320</v>
      </c>
      <c r="N5" s="19" t="s">
        <v>320</v>
      </c>
      <c r="O5" s="19" t="s">
        <v>320</v>
      </c>
      <c r="P5" s="19" t="s">
        <v>320</v>
      </c>
      <c r="Q5" s="19" t="s">
        <v>320</v>
      </c>
      <c r="R5" s="19"/>
      <c r="S5" s="19" t="s">
        <v>267</v>
      </c>
      <c r="T5" s="19" t="s">
        <v>324</v>
      </c>
      <c r="U5" s="19" t="s">
        <v>325</v>
      </c>
      <c r="V5" s="19" t="s">
        <v>334</v>
      </c>
      <c r="W5" s="19" t="s">
        <v>327</v>
      </c>
    </row>
    <row r="6" spans="1:23" ht="28.5">
      <c r="A6" s="19" t="s">
        <v>39</v>
      </c>
      <c r="B6" s="19" t="s">
        <v>40</v>
      </c>
      <c r="C6" s="19" t="s">
        <v>41</v>
      </c>
      <c r="D6" s="19" t="s">
        <v>41</v>
      </c>
      <c r="E6" s="19" t="s">
        <v>26</v>
      </c>
      <c r="F6" s="28">
        <v>78.3</v>
      </c>
      <c r="G6" s="19" t="s">
        <v>335</v>
      </c>
      <c r="H6" s="21">
        <v>78</v>
      </c>
      <c r="I6" s="21"/>
      <c r="J6" s="19" t="s">
        <v>320</v>
      </c>
      <c r="K6" s="19" t="s">
        <v>320</v>
      </c>
      <c r="L6" s="19" t="s">
        <v>320</v>
      </c>
      <c r="M6" s="19" t="s">
        <v>320</v>
      </c>
      <c r="N6" s="19" t="s">
        <v>320</v>
      </c>
      <c r="O6" s="19" t="s">
        <v>320</v>
      </c>
      <c r="P6" s="19" t="s">
        <v>320</v>
      </c>
      <c r="Q6" s="19" t="s">
        <v>320</v>
      </c>
      <c r="R6" s="19"/>
      <c r="S6" s="19" t="s">
        <v>267</v>
      </c>
      <c r="T6" s="19" t="s">
        <v>324</v>
      </c>
      <c r="U6" s="19" t="s">
        <v>325</v>
      </c>
      <c r="V6" s="19" t="s">
        <v>336</v>
      </c>
      <c r="W6" s="19" t="s">
        <v>327</v>
      </c>
    </row>
    <row r="7" spans="1:23" ht="28.5">
      <c r="A7" s="19" t="s">
        <v>42</v>
      </c>
      <c r="B7" s="19" t="s">
        <v>43</v>
      </c>
      <c r="C7" s="19" t="s">
        <v>44</v>
      </c>
      <c r="D7" s="19" t="s">
        <v>44</v>
      </c>
      <c r="E7" s="19" t="s">
        <v>26</v>
      </c>
      <c r="F7" s="28">
        <v>85.4</v>
      </c>
      <c r="G7" s="19" t="s">
        <v>319</v>
      </c>
      <c r="H7" s="21">
        <v>85</v>
      </c>
      <c r="I7" s="21">
        <v>64</v>
      </c>
      <c r="J7" s="19" t="s">
        <v>335</v>
      </c>
      <c r="K7" s="19" t="s">
        <v>328</v>
      </c>
      <c r="L7" s="19" t="s">
        <v>321</v>
      </c>
      <c r="M7" s="19" t="s">
        <v>322</v>
      </c>
      <c r="N7" s="19" t="s">
        <v>330</v>
      </c>
      <c r="O7" s="19" t="s">
        <v>322</v>
      </c>
      <c r="P7" s="19" t="s">
        <v>323</v>
      </c>
      <c r="Q7" s="19" t="s">
        <v>319</v>
      </c>
      <c r="R7" s="19">
        <v>8</v>
      </c>
      <c r="S7" s="19" t="s">
        <v>267</v>
      </c>
      <c r="T7" s="19" t="s">
        <v>324</v>
      </c>
      <c r="U7" s="19" t="s">
        <v>325</v>
      </c>
      <c r="V7" s="19" t="s">
        <v>337</v>
      </c>
      <c r="W7" s="19" t="s">
        <v>327</v>
      </c>
    </row>
    <row r="8" spans="1:23" ht="28.5">
      <c r="A8" s="19" t="s">
        <v>45</v>
      </c>
      <c r="B8" s="19" t="s">
        <v>46</v>
      </c>
      <c r="C8" s="19" t="s">
        <v>47</v>
      </c>
      <c r="D8" s="19" t="s">
        <v>48</v>
      </c>
      <c r="E8" s="19" t="s">
        <v>26</v>
      </c>
      <c r="F8" s="28">
        <v>79.7</v>
      </c>
      <c r="G8" s="19" t="s">
        <v>335</v>
      </c>
      <c r="H8" s="21">
        <v>80</v>
      </c>
      <c r="I8" s="21"/>
      <c r="J8" s="19" t="s">
        <v>320</v>
      </c>
      <c r="K8" s="19" t="s">
        <v>320</v>
      </c>
      <c r="L8" s="19" t="s">
        <v>321</v>
      </c>
      <c r="M8" s="19" t="s">
        <v>322</v>
      </c>
      <c r="N8" s="19" t="s">
        <v>323</v>
      </c>
      <c r="O8" s="19" t="s">
        <v>319</v>
      </c>
      <c r="P8" s="19" t="s">
        <v>332</v>
      </c>
      <c r="Q8" s="19" t="s">
        <v>322</v>
      </c>
      <c r="R8" s="19"/>
      <c r="S8" s="19" t="s">
        <v>267</v>
      </c>
      <c r="T8" s="19" t="s">
        <v>324</v>
      </c>
      <c r="U8" s="19" t="s">
        <v>325</v>
      </c>
      <c r="V8" s="19" t="s">
        <v>338</v>
      </c>
      <c r="W8" s="19" t="s">
        <v>327</v>
      </c>
    </row>
    <row r="9" spans="1:23" ht="28.5">
      <c r="A9" s="19" t="s">
        <v>49</v>
      </c>
      <c r="B9" s="19" t="s">
        <v>50</v>
      </c>
      <c r="C9" s="19" t="s">
        <v>51</v>
      </c>
      <c r="D9" s="19" t="s">
        <v>51</v>
      </c>
      <c r="E9" s="19" t="s">
        <v>26</v>
      </c>
      <c r="F9" s="28">
        <v>80.5</v>
      </c>
      <c r="G9" s="19" t="s">
        <v>335</v>
      </c>
      <c r="H9" s="21">
        <v>81</v>
      </c>
      <c r="I9" s="21">
        <v>54</v>
      </c>
      <c r="J9" s="19" t="s">
        <v>339</v>
      </c>
      <c r="K9" s="19" t="s">
        <v>328</v>
      </c>
      <c r="L9" s="19" t="s">
        <v>321</v>
      </c>
      <c r="M9" s="19" t="s">
        <v>322</v>
      </c>
      <c r="N9" s="19" t="s">
        <v>323</v>
      </c>
      <c r="O9" s="19" t="s">
        <v>322</v>
      </c>
      <c r="P9" s="19" t="s">
        <v>340</v>
      </c>
      <c r="Q9" s="19" t="s">
        <v>319</v>
      </c>
      <c r="R9" s="19">
        <v>11</v>
      </c>
      <c r="S9" s="19" t="s">
        <v>267</v>
      </c>
      <c r="T9" s="19" t="s">
        <v>324</v>
      </c>
      <c r="U9" s="19" t="s">
        <v>325</v>
      </c>
      <c r="V9" s="19" t="s">
        <v>341</v>
      </c>
      <c r="W9" s="19" t="s">
        <v>327</v>
      </c>
    </row>
    <row r="10" spans="1:23" ht="28.5">
      <c r="A10" s="19" t="s">
        <v>52</v>
      </c>
      <c r="B10" s="19" t="s">
        <v>53</v>
      </c>
      <c r="C10" s="19" t="s">
        <v>24</v>
      </c>
      <c r="D10" s="19" t="s">
        <v>25</v>
      </c>
      <c r="E10" s="19" t="s">
        <v>26</v>
      </c>
      <c r="F10" s="28">
        <v>93.9</v>
      </c>
      <c r="G10" s="19" t="s">
        <v>319</v>
      </c>
      <c r="H10" s="21">
        <v>94</v>
      </c>
      <c r="I10" s="21">
        <v>182</v>
      </c>
      <c r="J10" s="19" t="s">
        <v>320</v>
      </c>
      <c r="K10" s="19" t="s">
        <v>320</v>
      </c>
      <c r="L10" s="19" t="s">
        <v>321</v>
      </c>
      <c r="M10" s="19" t="s">
        <v>322</v>
      </c>
      <c r="N10" s="19" t="s">
        <v>323</v>
      </c>
      <c r="O10" s="19" t="s">
        <v>322</v>
      </c>
      <c r="P10" s="19" t="s">
        <v>320</v>
      </c>
      <c r="Q10" s="19" t="s">
        <v>320</v>
      </c>
      <c r="R10" s="19"/>
      <c r="S10" s="19" t="s">
        <v>267</v>
      </c>
      <c r="T10" s="19" t="s">
        <v>324</v>
      </c>
      <c r="U10" s="19" t="s">
        <v>325</v>
      </c>
      <c r="V10" s="19" t="s">
        <v>326</v>
      </c>
      <c r="W10" s="19" t="s">
        <v>327</v>
      </c>
    </row>
    <row r="11" spans="1:23" ht="28.5">
      <c r="A11" s="19" t="s">
        <v>54</v>
      </c>
      <c r="B11" s="19" t="s">
        <v>55</v>
      </c>
      <c r="C11" s="19" t="s">
        <v>56</v>
      </c>
      <c r="D11" s="19" t="s">
        <v>56</v>
      </c>
      <c r="E11" s="19" t="s">
        <v>26</v>
      </c>
      <c r="F11" s="28">
        <v>85</v>
      </c>
      <c r="G11" s="19" t="s">
        <v>319</v>
      </c>
      <c r="H11" s="21">
        <v>85</v>
      </c>
      <c r="I11" s="21">
        <v>64</v>
      </c>
      <c r="J11" s="19" t="s">
        <v>335</v>
      </c>
      <c r="K11" s="19" t="s">
        <v>328</v>
      </c>
      <c r="L11" s="19" t="s">
        <v>321</v>
      </c>
      <c r="M11" s="19" t="s">
        <v>322</v>
      </c>
      <c r="N11" s="19" t="s">
        <v>332</v>
      </c>
      <c r="O11" s="19" t="s">
        <v>322</v>
      </c>
      <c r="P11" s="19" t="s">
        <v>330</v>
      </c>
      <c r="Q11" s="19" t="s">
        <v>322</v>
      </c>
      <c r="R11" s="19">
        <v>9</v>
      </c>
      <c r="S11" s="19" t="s">
        <v>267</v>
      </c>
      <c r="T11" s="19" t="s">
        <v>324</v>
      </c>
      <c r="U11" s="19" t="s">
        <v>325</v>
      </c>
      <c r="V11" s="19" t="s">
        <v>342</v>
      </c>
      <c r="W11" s="19" t="s">
        <v>327</v>
      </c>
    </row>
  </sheetData>
  <conditionalFormatting sqref="F2:F11">
    <cfRule type="colorScale" priority="1">
      <colorScale>
        <cfvo type="min"/>
        <cfvo type="percentile" val="50"/>
        <cfvo type="max"/>
        <color rgb="FFDCFCE7"/>
        <color rgb="FFFEF3C7"/>
        <color rgb="FFFCA5A5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BA5A-B8CB-4731-A82C-60F67519C029}">
  <dimension ref="A1:T11"/>
  <sheetViews>
    <sheetView workbookViewId="0">
      <selection activeCell="I4" sqref="I4"/>
    </sheetView>
  </sheetViews>
  <sheetFormatPr defaultRowHeight="14.25"/>
  <cols>
    <col min="1" max="1" width="13.7109375" style="5" customWidth="1"/>
    <col min="2" max="2" width="27.42578125" style="5" customWidth="1"/>
    <col min="3" max="4" width="16" style="5" customWidth="1"/>
    <col min="5" max="5" width="9.140625" style="5" customWidth="1"/>
    <col min="6" max="7" width="22.85546875" style="5" customWidth="1"/>
    <col min="8" max="8" width="32" style="5" customWidth="1"/>
    <col min="9" max="15" width="22.85546875" style="5" customWidth="1"/>
    <col min="16" max="16" width="18.28515625" style="5" customWidth="1"/>
    <col min="17" max="17" width="20.5703125" style="5" customWidth="1"/>
    <col min="18" max="18" width="50.28515625" style="5" customWidth="1"/>
    <col min="19" max="19" width="68.5703125" style="5" customWidth="1"/>
    <col min="20" max="20" width="57.140625" style="5" customWidth="1"/>
    <col min="21" max="16384" width="9.140625" style="5"/>
  </cols>
  <sheetData>
    <row r="1" spans="1:20" ht="33.950000000000003" customHeight="1">
      <c r="A1" s="27" t="s">
        <v>0</v>
      </c>
      <c r="B1" s="27" t="s">
        <v>1</v>
      </c>
      <c r="C1" s="27" t="s">
        <v>2</v>
      </c>
      <c r="D1" s="27" t="s">
        <v>4</v>
      </c>
      <c r="E1" s="27" t="s">
        <v>3</v>
      </c>
      <c r="F1" s="27" t="s">
        <v>343</v>
      </c>
      <c r="G1" s="27" t="s">
        <v>344</v>
      </c>
      <c r="H1" s="27" t="s">
        <v>345</v>
      </c>
      <c r="I1" s="27" t="s">
        <v>346</v>
      </c>
      <c r="J1" s="27" t="s">
        <v>347</v>
      </c>
      <c r="K1" s="27" t="s">
        <v>348</v>
      </c>
      <c r="L1" s="27" t="s">
        <v>349</v>
      </c>
      <c r="M1" s="27" t="s">
        <v>350</v>
      </c>
      <c r="N1" s="27" t="s">
        <v>351</v>
      </c>
      <c r="O1" s="27" t="s">
        <v>352</v>
      </c>
      <c r="P1" s="27" t="s">
        <v>353</v>
      </c>
      <c r="Q1" s="27" t="s">
        <v>354</v>
      </c>
      <c r="R1" s="27" t="s">
        <v>355</v>
      </c>
      <c r="S1" s="27" t="s">
        <v>356</v>
      </c>
      <c r="T1" s="27" t="s">
        <v>95</v>
      </c>
    </row>
    <row r="2" spans="1:20" ht="71.25">
      <c r="A2" s="19" t="s">
        <v>22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357</v>
      </c>
      <c r="G2" s="19" t="s">
        <v>358</v>
      </c>
      <c r="H2" s="19" t="s">
        <v>359</v>
      </c>
      <c r="I2" s="19" t="s">
        <v>360</v>
      </c>
      <c r="J2" s="19" t="s">
        <v>360</v>
      </c>
      <c r="K2" s="19" t="s">
        <v>360</v>
      </c>
      <c r="L2" s="19" t="s">
        <v>360</v>
      </c>
      <c r="M2" s="19" t="s">
        <v>360</v>
      </c>
      <c r="N2" s="19" t="s">
        <v>360</v>
      </c>
      <c r="O2" s="19" t="s">
        <v>360</v>
      </c>
      <c r="P2" s="19" t="s">
        <v>335</v>
      </c>
      <c r="Q2" s="19" t="s">
        <v>361</v>
      </c>
      <c r="R2" s="19" t="s">
        <v>362</v>
      </c>
      <c r="S2" s="19" t="s">
        <v>363</v>
      </c>
      <c r="T2" s="19" t="s">
        <v>364</v>
      </c>
    </row>
    <row r="3" spans="1:20" ht="71.25">
      <c r="A3" s="19" t="s">
        <v>28</v>
      </c>
      <c r="B3" s="19" t="s">
        <v>29</v>
      </c>
      <c r="C3" s="19" t="s">
        <v>30</v>
      </c>
      <c r="D3" s="19" t="s">
        <v>30</v>
      </c>
      <c r="E3" s="19" t="s">
        <v>26</v>
      </c>
      <c r="F3" s="19" t="s">
        <v>357</v>
      </c>
      <c r="G3" s="19" t="s">
        <v>358</v>
      </c>
      <c r="H3" s="19" t="s">
        <v>365</v>
      </c>
      <c r="I3" s="19" t="s">
        <v>366</v>
      </c>
      <c r="J3" s="19" t="s">
        <v>366</v>
      </c>
      <c r="K3" s="19" t="s">
        <v>367</v>
      </c>
      <c r="L3" s="19" t="s">
        <v>367</v>
      </c>
      <c r="M3" s="19" t="s">
        <v>367</v>
      </c>
      <c r="N3" s="19" t="s">
        <v>366</v>
      </c>
      <c r="O3" s="19" t="s">
        <v>360</v>
      </c>
      <c r="P3" s="19" t="s">
        <v>322</v>
      </c>
      <c r="Q3" s="19" t="s">
        <v>361</v>
      </c>
      <c r="R3" s="19" t="s">
        <v>362</v>
      </c>
      <c r="S3" s="19" t="s">
        <v>363</v>
      </c>
      <c r="T3" s="19" t="s">
        <v>364</v>
      </c>
    </row>
    <row r="4" spans="1:20" ht="71.25">
      <c r="A4" s="19" t="s">
        <v>31</v>
      </c>
      <c r="B4" s="19" t="s">
        <v>32</v>
      </c>
      <c r="C4" s="19" t="s">
        <v>33</v>
      </c>
      <c r="D4" s="19" t="s">
        <v>34</v>
      </c>
      <c r="E4" s="19" t="s">
        <v>26</v>
      </c>
      <c r="F4" s="19" t="s">
        <v>357</v>
      </c>
      <c r="G4" s="19" t="s">
        <v>358</v>
      </c>
      <c r="H4" s="19" t="s">
        <v>368</v>
      </c>
      <c r="I4" s="19" t="s">
        <v>360</v>
      </c>
      <c r="J4" s="19" t="s">
        <v>367</v>
      </c>
      <c r="K4" s="19" t="s">
        <v>367</v>
      </c>
      <c r="L4" s="19" t="s">
        <v>367</v>
      </c>
      <c r="M4" s="19" t="s">
        <v>360</v>
      </c>
      <c r="N4" s="19" t="s">
        <v>360</v>
      </c>
      <c r="O4" s="19" t="s">
        <v>360</v>
      </c>
      <c r="P4" s="19" t="s">
        <v>319</v>
      </c>
      <c r="Q4" s="19" t="s">
        <v>361</v>
      </c>
      <c r="R4" s="19" t="s">
        <v>362</v>
      </c>
      <c r="S4" s="19" t="s">
        <v>363</v>
      </c>
      <c r="T4" s="19" t="s">
        <v>364</v>
      </c>
    </row>
    <row r="5" spans="1:20" ht="71.25">
      <c r="A5" s="19" t="s">
        <v>35</v>
      </c>
      <c r="B5" s="19" t="s">
        <v>36</v>
      </c>
      <c r="C5" s="19" t="s">
        <v>37</v>
      </c>
      <c r="D5" s="19" t="s">
        <v>38</v>
      </c>
      <c r="E5" s="19" t="s">
        <v>26</v>
      </c>
      <c r="F5" s="19" t="s">
        <v>357</v>
      </c>
      <c r="G5" s="19" t="s">
        <v>358</v>
      </c>
      <c r="H5" s="19" t="s">
        <v>368</v>
      </c>
      <c r="I5" s="19" t="s">
        <v>367</v>
      </c>
      <c r="J5" s="19" t="s">
        <v>366</v>
      </c>
      <c r="K5" s="19" t="s">
        <v>360</v>
      </c>
      <c r="L5" s="19" t="s">
        <v>367</v>
      </c>
      <c r="M5" s="19" t="s">
        <v>360</v>
      </c>
      <c r="N5" s="19" t="s">
        <v>367</v>
      </c>
      <c r="O5" s="19" t="s">
        <v>369</v>
      </c>
      <c r="P5" s="19" t="s">
        <v>319</v>
      </c>
      <c r="Q5" s="19" t="s">
        <v>361</v>
      </c>
      <c r="R5" s="19" t="s">
        <v>362</v>
      </c>
      <c r="S5" s="19" t="s">
        <v>363</v>
      </c>
      <c r="T5" s="19" t="s">
        <v>364</v>
      </c>
    </row>
    <row r="6" spans="1:20" ht="71.25">
      <c r="A6" s="19" t="s">
        <v>39</v>
      </c>
      <c r="B6" s="19" t="s">
        <v>40</v>
      </c>
      <c r="C6" s="19" t="s">
        <v>41</v>
      </c>
      <c r="D6" s="19" t="s">
        <v>41</v>
      </c>
      <c r="E6" s="19" t="s">
        <v>26</v>
      </c>
      <c r="F6" s="19" t="s">
        <v>357</v>
      </c>
      <c r="G6" s="19" t="s">
        <v>358</v>
      </c>
      <c r="H6" s="19" t="s">
        <v>359</v>
      </c>
      <c r="I6" s="19" t="s">
        <v>360</v>
      </c>
      <c r="J6" s="19" t="s">
        <v>360</v>
      </c>
      <c r="K6" s="19" t="s">
        <v>360</v>
      </c>
      <c r="L6" s="19" t="s">
        <v>360</v>
      </c>
      <c r="M6" s="19" t="s">
        <v>360</v>
      </c>
      <c r="N6" s="19" t="s">
        <v>360</v>
      </c>
      <c r="O6" s="19" t="s">
        <v>369</v>
      </c>
      <c r="P6" s="19" t="s">
        <v>335</v>
      </c>
      <c r="Q6" s="19" t="s">
        <v>361</v>
      </c>
      <c r="R6" s="19" t="s">
        <v>362</v>
      </c>
      <c r="S6" s="19" t="s">
        <v>363</v>
      </c>
      <c r="T6" s="19" t="s">
        <v>364</v>
      </c>
    </row>
    <row r="7" spans="1:20" ht="71.25">
      <c r="A7" s="19" t="s">
        <v>42</v>
      </c>
      <c r="B7" s="19" t="s">
        <v>43</v>
      </c>
      <c r="C7" s="19" t="s">
        <v>44</v>
      </c>
      <c r="D7" s="19" t="s">
        <v>44</v>
      </c>
      <c r="E7" s="19" t="s">
        <v>26</v>
      </c>
      <c r="F7" s="19" t="s">
        <v>357</v>
      </c>
      <c r="G7" s="19" t="s">
        <v>358</v>
      </c>
      <c r="H7" s="19" t="s">
        <v>365</v>
      </c>
      <c r="I7" s="19" t="s">
        <v>366</v>
      </c>
      <c r="J7" s="19" t="s">
        <v>366</v>
      </c>
      <c r="K7" s="19" t="s">
        <v>367</v>
      </c>
      <c r="L7" s="19" t="s">
        <v>367</v>
      </c>
      <c r="M7" s="19" t="s">
        <v>367</v>
      </c>
      <c r="N7" s="19" t="s">
        <v>366</v>
      </c>
      <c r="O7" s="19" t="s">
        <v>360</v>
      </c>
      <c r="P7" s="19" t="s">
        <v>322</v>
      </c>
      <c r="Q7" s="19" t="s">
        <v>361</v>
      </c>
      <c r="R7" s="19" t="s">
        <v>362</v>
      </c>
      <c r="S7" s="19" t="s">
        <v>363</v>
      </c>
      <c r="T7" s="19" t="s">
        <v>364</v>
      </c>
    </row>
    <row r="8" spans="1:20" ht="71.25">
      <c r="A8" s="19" t="s">
        <v>45</v>
      </c>
      <c r="B8" s="19" t="s">
        <v>46</v>
      </c>
      <c r="C8" s="19" t="s">
        <v>47</v>
      </c>
      <c r="D8" s="19" t="s">
        <v>48</v>
      </c>
      <c r="E8" s="19" t="s">
        <v>26</v>
      </c>
      <c r="F8" s="19" t="s">
        <v>357</v>
      </c>
      <c r="G8" s="19" t="s">
        <v>358</v>
      </c>
      <c r="H8" s="19" t="s">
        <v>359</v>
      </c>
      <c r="I8" s="19" t="s">
        <v>360</v>
      </c>
      <c r="J8" s="19" t="s">
        <v>360</v>
      </c>
      <c r="K8" s="19" t="s">
        <v>360</v>
      </c>
      <c r="L8" s="19" t="s">
        <v>360</v>
      </c>
      <c r="M8" s="19" t="s">
        <v>360</v>
      </c>
      <c r="N8" s="19" t="s">
        <v>360</v>
      </c>
      <c r="O8" s="19" t="s">
        <v>360</v>
      </c>
      <c r="P8" s="19" t="s">
        <v>335</v>
      </c>
      <c r="Q8" s="19" t="s">
        <v>361</v>
      </c>
      <c r="R8" s="19" t="s">
        <v>362</v>
      </c>
      <c r="S8" s="19" t="s">
        <v>363</v>
      </c>
      <c r="T8" s="19" t="s">
        <v>364</v>
      </c>
    </row>
    <row r="9" spans="1:20" ht="71.25">
      <c r="A9" s="19" t="s">
        <v>49</v>
      </c>
      <c r="B9" s="19" t="s">
        <v>50</v>
      </c>
      <c r="C9" s="19" t="s">
        <v>51</v>
      </c>
      <c r="D9" s="19" t="s">
        <v>51</v>
      </c>
      <c r="E9" s="19" t="s">
        <v>26</v>
      </c>
      <c r="F9" s="19" t="s">
        <v>357</v>
      </c>
      <c r="G9" s="19" t="s">
        <v>358</v>
      </c>
      <c r="H9" s="19" t="s">
        <v>368</v>
      </c>
      <c r="I9" s="19" t="s">
        <v>367</v>
      </c>
      <c r="J9" s="19" t="s">
        <v>366</v>
      </c>
      <c r="K9" s="19" t="s">
        <v>360</v>
      </c>
      <c r="L9" s="19" t="s">
        <v>360</v>
      </c>
      <c r="M9" s="19" t="s">
        <v>367</v>
      </c>
      <c r="N9" s="19" t="s">
        <v>367</v>
      </c>
      <c r="O9" s="19" t="s">
        <v>369</v>
      </c>
      <c r="P9" s="19" t="s">
        <v>319</v>
      </c>
      <c r="Q9" s="19" t="s">
        <v>361</v>
      </c>
      <c r="R9" s="19" t="s">
        <v>362</v>
      </c>
      <c r="S9" s="19" t="s">
        <v>363</v>
      </c>
      <c r="T9" s="19" t="s">
        <v>364</v>
      </c>
    </row>
    <row r="10" spans="1:20" ht="71.25">
      <c r="A10" s="19" t="s">
        <v>52</v>
      </c>
      <c r="B10" s="19" t="s">
        <v>53</v>
      </c>
      <c r="C10" s="19" t="s">
        <v>24</v>
      </c>
      <c r="D10" s="19" t="s">
        <v>25</v>
      </c>
      <c r="E10" s="19" t="s">
        <v>26</v>
      </c>
      <c r="F10" s="19" t="s">
        <v>357</v>
      </c>
      <c r="G10" s="19" t="s">
        <v>358</v>
      </c>
      <c r="H10" s="19" t="s">
        <v>359</v>
      </c>
      <c r="I10" s="19" t="s">
        <v>360</v>
      </c>
      <c r="J10" s="19" t="s">
        <v>360</v>
      </c>
      <c r="K10" s="19" t="s">
        <v>360</v>
      </c>
      <c r="L10" s="19" t="s">
        <v>360</v>
      </c>
      <c r="M10" s="19" t="s">
        <v>360</v>
      </c>
      <c r="N10" s="19" t="s">
        <v>360</v>
      </c>
      <c r="O10" s="19" t="s">
        <v>360</v>
      </c>
      <c r="P10" s="19" t="s">
        <v>335</v>
      </c>
      <c r="Q10" s="19" t="s">
        <v>361</v>
      </c>
      <c r="R10" s="19" t="s">
        <v>362</v>
      </c>
      <c r="S10" s="19" t="s">
        <v>363</v>
      </c>
      <c r="T10" s="19" t="s">
        <v>364</v>
      </c>
    </row>
    <row r="11" spans="1:20" ht="71.25">
      <c r="A11" s="19" t="s">
        <v>54</v>
      </c>
      <c r="B11" s="19" t="s">
        <v>55</v>
      </c>
      <c r="C11" s="19" t="s">
        <v>56</v>
      </c>
      <c r="D11" s="19" t="s">
        <v>56</v>
      </c>
      <c r="E11" s="19" t="s">
        <v>26</v>
      </c>
      <c r="F11" s="19" t="s">
        <v>357</v>
      </c>
      <c r="G11" s="19" t="s">
        <v>358</v>
      </c>
      <c r="H11" s="19" t="s">
        <v>365</v>
      </c>
      <c r="I11" s="19" t="s">
        <v>366</v>
      </c>
      <c r="J11" s="19" t="s">
        <v>366</v>
      </c>
      <c r="K11" s="19" t="s">
        <v>367</v>
      </c>
      <c r="L11" s="19" t="s">
        <v>367</v>
      </c>
      <c r="M11" s="19" t="s">
        <v>367</v>
      </c>
      <c r="N11" s="19" t="s">
        <v>366</v>
      </c>
      <c r="O11" s="19" t="s">
        <v>360</v>
      </c>
      <c r="P11" s="19" t="s">
        <v>322</v>
      </c>
      <c r="Q11" s="19" t="s">
        <v>361</v>
      </c>
      <c r="R11" s="19" t="s">
        <v>362</v>
      </c>
      <c r="S11" s="19" t="s">
        <v>363</v>
      </c>
      <c r="T11" s="19" t="s">
        <v>364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E81A-EAA0-426C-9224-608EA6B6B274}">
  <dimension ref="A1:AB94"/>
  <sheetViews>
    <sheetView workbookViewId="0">
      <selection sqref="A1:V1"/>
    </sheetView>
  </sheetViews>
  <sheetFormatPr defaultRowHeight="14.25"/>
  <cols>
    <col min="1" max="1" width="13.7109375" style="5" customWidth="1"/>
    <col min="2" max="2" width="27.42578125" style="5" customWidth="1"/>
    <col min="3" max="6" width="16" style="5" customWidth="1"/>
    <col min="7" max="7" width="41.140625" style="5" customWidth="1"/>
    <col min="8" max="8" width="27.42578125" style="5" customWidth="1"/>
    <col min="9" max="10" width="17.140625" style="5" customWidth="1"/>
    <col min="11" max="11" width="16" style="5" customWidth="1"/>
    <col min="12" max="14" width="18.28515625" style="5" customWidth="1"/>
    <col min="15" max="15" width="17.140625" style="5" customWidth="1"/>
    <col min="16" max="17" width="13.7109375" style="5" customWidth="1"/>
    <col min="18" max="18" width="16" style="5" customWidth="1"/>
    <col min="19" max="19" width="18.28515625" style="5" customWidth="1"/>
    <col min="20" max="20" width="20.5703125" style="5" customWidth="1"/>
    <col min="21" max="21" width="32" style="5" customWidth="1"/>
    <col min="22" max="28" width="20.5703125" style="5" customWidth="1"/>
    <col min="29" max="16384" width="9.140625" style="5"/>
  </cols>
  <sheetData>
    <row r="1" spans="1:28" ht="20.25">
      <c r="A1" s="29" t="s">
        <v>370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8">
      <c r="A2" s="30" t="s">
        <v>371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8" ht="45">
      <c r="A4" s="6" t="s">
        <v>0</v>
      </c>
      <c r="B4" s="6" t="s">
        <v>1</v>
      </c>
      <c r="C4" s="6" t="s">
        <v>2</v>
      </c>
      <c r="D4" s="6" t="s">
        <v>4</v>
      </c>
      <c r="E4" s="6" t="s">
        <v>372</v>
      </c>
      <c r="F4" s="6" t="s">
        <v>373</v>
      </c>
      <c r="G4" s="6" t="s">
        <v>189</v>
      </c>
      <c r="H4" s="6" t="s">
        <v>18</v>
      </c>
      <c r="I4" s="6" t="s">
        <v>21</v>
      </c>
      <c r="J4" s="6" t="s">
        <v>374</v>
      </c>
      <c r="K4" s="6" t="s">
        <v>375</v>
      </c>
      <c r="L4" s="6" t="s">
        <v>376</v>
      </c>
      <c r="M4" s="6" t="s">
        <v>377</v>
      </c>
      <c r="N4" s="6" t="s">
        <v>378</v>
      </c>
      <c r="O4" s="6" t="s">
        <v>19</v>
      </c>
      <c r="P4" s="6" t="s">
        <v>379</v>
      </c>
      <c r="Q4" s="6" t="s">
        <v>380</v>
      </c>
      <c r="R4" s="6" t="s">
        <v>20</v>
      </c>
      <c r="S4" s="6" t="s">
        <v>381</v>
      </c>
      <c r="T4" s="6" t="s">
        <v>382</v>
      </c>
      <c r="U4" s="6" t="s">
        <v>354</v>
      </c>
      <c r="V4" s="6" t="s">
        <v>95</v>
      </c>
      <c r="W4" s="6" t="s">
        <v>383</v>
      </c>
      <c r="X4" s="6" t="s">
        <v>384</v>
      </c>
      <c r="Y4" s="6" t="s">
        <v>385</v>
      </c>
      <c r="Z4" s="6" t="s">
        <v>386</v>
      </c>
      <c r="AA4" s="6" t="s">
        <v>387</v>
      </c>
      <c r="AB4" s="6" t="s">
        <v>388</v>
      </c>
    </row>
    <row r="5" spans="1:28" ht="71.25">
      <c r="A5" s="19" t="s">
        <v>22</v>
      </c>
      <c r="B5" s="19" t="s">
        <v>23</v>
      </c>
      <c r="C5" s="19" t="s">
        <v>24</v>
      </c>
      <c r="D5" s="19" t="s">
        <v>25</v>
      </c>
      <c r="E5" s="19" t="s">
        <v>389</v>
      </c>
      <c r="F5" s="19" t="s">
        <v>390</v>
      </c>
      <c r="G5" s="19" t="s">
        <v>391</v>
      </c>
      <c r="H5" s="31">
        <v>73000</v>
      </c>
      <c r="I5" s="31">
        <v>8800</v>
      </c>
      <c r="J5" s="31">
        <v>64200</v>
      </c>
      <c r="K5" s="19">
        <v>43551</v>
      </c>
      <c r="L5" s="19">
        <v>0</v>
      </c>
      <c r="M5" s="19">
        <v>0</v>
      </c>
      <c r="N5" s="31">
        <v>6315</v>
      </c>
      <c r="O5" s="19">
        <v>10</v>
      </c>
      <c r="P5" s="19">
        <v>2</v>
      </c>
      <c r="Q5" s="19">
        <v>5</v>
      </c>
      <c r="R5" s="19" t="s">
        <v>335</v>
      </c>
      <c r="S5" s="28">
        <v>23</v>
      </c>
      <c r="T5" s="19" t="s">
        <v>392</v>
      </c>
      <c r="U5" s="19" t="s">
        <v>393</v>
      </c>
      <c r="V5" s="19" t="s">
        <v>394</v>
      </c>
      <c r="W5" s="28">
        <f t="shared" ref="W5:W68" si="0">IFERROR(J5/N5,"")</f>
        <v>10.166270783847981</v>
      </c>
      <c r="X5" s="31">
        <f t="shared" ref="X5:X68" si="1">N5*O5</f>
        <v>63150</v>
      </c>
      <c r="Y5" s="31">
        <f t="shared" ref="Y5:Y68" si="2">(N5*O5)-J5</f>
        <v>-1050</v>
      </c>
      <c r="Z5" s="28">
        <f t="shared" ref="Z5:Z68" si="3">S5*O5</f>
        <v>230</v>
      </c>
      <c r="AA5" s="31">
        <f t="shared" ref="AA5:AA68" si="4">IFERROR(J5/(S5*O5),"")</f>
        <v>279.13043478260869</v>
      </c>
      <c r="AB5" s="19" t="str">
        <f t="shared" ref="AB5:AB68" si="5">IF(AND(IFERROR(J5/N5,99)&lt;=4, S5&gt;20),"Fund now",IF(IFERROR(J5/N5,99)&lt;=7,"Fund if budget allows","Study/defer"))</f>
        <v>Study/defer</v>
      </c>
    </row>
    <row r="6" spans="1:28" ht="71.25">
      <c r="A6" s="19" t="s">
        <v>22</v>
      </c>
      <c r="B6" s="19" t="s">
        <v>23</v>
      </c>
      <c r="C6" s="19" t="s">
        <v>24</v>
      </c>
      <c r="D6" s="19" t="s">
        <v>25</v>
      </c>
      <c r="E6" s="19" t="s">
        <v>395</v>
      </c>
      <c r="F6" s="19" t="s">
        <v>396</v>
      </c>
      <c r="G6" s="19" t="s">
        <v>391</v>
      </c>
      <c r="H6" s="31">
        <v>49200</v>
      </c>
      <c r="I6" s="31">
        <v>4900</v>
      </c>
      <c r="J6" s="31">
        <v>44300</v>
      </c>
      <c r="K6" s="19">
        <v>0</v>
      </c>
      <c r="L6" s="19">
        <v>4783</v>
      </c>
      <c r="M6" s="19">
        <v>0</v>
      </c>
      <c r="N6" s="31">
        <v>5261</v>
      </c>
      <c r="O6" s="19">
        <v>8</v>
      </c>
      <c r="P6" s="19">
        <v>3</v>
      </c>
      <c r="Q6" s="19">
        <v>5</v>
      </c>
      <c r="R6" s="19" t="s">
        <v>319</v>
      </c>
      <c r="S6" s="28">
        <v>25.4</v>
      </c>
      <c r="T6" s="19" t="s">
        <v>392</v>
      </c>
      <c r="U6" s="19" t="s">
        <v>393</v>
      </c>
      <c r="V6" s="19" t="s">
        <v>397</v>
      </c>
      <c r="W6" s="28">
        <f t="shared" si="0"/>
        <v>8.4204523854780469</v>
      </c>
      <c r="X6" s="31">
        <f t="shared" si="1"/>
        <v>42088</v>
      </c>
      <c r="Y6" s="31">
        <f t="shared" si="2"/>
        <v>-2212</v>
      </c>
      <c r="Z6" s="28">
        <f t="shared" si="3"/>
        <v>203.2</v>
      </c>
      <c r="AA6" s="31">
        <f t="shared" si="4"/>
        <v>218.01181102362207</v>
      </c>
      <c r="AB6" s="19" t="str">
        <f t="shared" si="5"/>
        <v>Study/defer</v>
      </c>
    </row>
    <row r="7" spans="1:28" ht="57">
      <c r="A7" s="19" t="s">
        <v>22</v>
      </c>
      <c r="B7" s="19" t="s">
        <v>23</v>
      </c>
      <c r="C7" s="19" t="s">
        <v>24</v>
      </c>
      <c r="D7" s="19" t="s">
        <v>25</v>
      </c>
      <c r="E7" s="19" t="s">
        <v>398</v>
      </c>
      <c r="F7" s="19" t="s">
        <v>399</v>
      </c>
      <c r="G7" s="19" t="s">
        <v>400</v>
      </c>
      <c r="H7" s="31">
        <v>87500</v>
      </c>
      <c r="I7" s="31">
        <v>8800</v>
      </c>
      <c r="J7" s="31">
        <v>78700</v>
      </c>
      <c r="K7" s="19">
        <v>14932</v>
      </c>
      <c r="L7" s="19">
        <v>2690</v>
      </c>
      <c r="M7" s="19">
        <v>0</v>
      </c>
      <c r="N7" s="31">
        <v>5124</v>
      </c>
      <c r="O7" s="19">
        <v>8</v>
      </c>
      <c r="P7" s="19">
        <v>5</v>
      </c>
      <c r="Q7" s="19">
        <v>4</v>
      </c>
      <c r="R7" s="19" t="s">
        <v>319</v>
      </c>
      <c r="S7" s="28">
        <v>22.2</v>
      </c>
      <c r="T7" s="19" t="s">
        <v>401</v>
      </c>
      <c r="U7" s="19" t="s">
        <v>393</v>
      </c>
      <c r="V7" s="19" t="s">
        <v>402</v>
      </c>
      <c r="W7" s="28">
        <f t="shared" si="0"/>
        <v>15.359094457455113</v>
      </c>
      <c r="X7" s="31">
        <f t="shared" si="1"/>
        <v>40992</v>
      </c>
      <c r="Y7" s="31">
        <f t="shared" si="2"/>
        <v>-37708</v>
      </c>
      <c r="Z7" s="28">
        <f t="shared" si="3"/>
        <v>177.6</v>
      </c>
      <c r="AA7" s="31">
        <f t="shared" si="4"/>
        <v>443.13063063063066</v>
      </c>
      <c r="AB7" s="19" t="str">
        <f t="shared" si="5"/>
        <v>Study/defer</v>
      </c>
    </row>
    <row r="8" spans="1:28" ht="57">
      <c r="A8" s="19" t="s">
        <v>22</v>
      </c>
      <c r="B8" s="19" t="s">
        <v>23</v>
      </c>
      <c r="C8" s="19" t="s">
        <v>24</v>
      </c>
      <c r="D8" s="19" t="s">
        <v>25</v>
      </c>
      <c r="E8" s="19" t="s">
        <v>403</v>
      </c>
      <c r="F8" s="19" t="s">
        <v>404</v>
      </c>
      <c r="G8" s="19" t="s">
        <v>405</v>
      </c>
      <c r="H8" s="31">
        <v>58100</v>
      </c>
      <c r="I8" s="31">
        <v>4600</v>
      </c>
      <c r="J8" s="31">
        <v>53500</v>
      </c>
      <c r="K8" s="19">
        <v>0</v>
      </c>
      <c r="L8" s="19">
        <v>897</v>
      </c>
      <c r="M8" s="19">
        <v>1473153</v>
      </c>
      <c r="N8" s="31">
        <v>11299</v>
      </c>
      <c r="O8" s="19">
        <v>10</v>
      </c>
      <c r="P8" s="19">
        <v>4</v>
      </c>
      <c r="Q8" s="19">
        <v>4</v>
      </c>
      <c r="R8" s="19" t="s">
        <v>335</v>
      </c>
      <c r="S8" s="28">
        <v>4.8</v>
      </c>
      <c r="T8" s="19" t="s">
        <v>406</v>
      </c>
      <c r="U8" s="19" t="s">
        <v>393</v>
      </c>
      <c r="V8" s="19" t="s">
        <v>407</v>
      </c>
      <c r="W8" s="28">
        <f t="shared" si="0"/>
        <v>4.734932294893353</v>
      </c>
      <c r="X8" s="31">
        <f t="shared" si="1"/>
        <v>112990</v>
      </c>
      <c r="Y8" s="31">
        <f t="shared" si="2"/>
        <v>59490</v>
      </c>
      <c r="Z8" s="28">
        <f t="shared" si="3"/>
        <v>48</v>
      </c>
      <c r="AA8" s="31">
        <f t="shared" si="4"/>
        <v>1114.5833333333333</v>
      </c>
      <c r="AB8" s="19" t="str">
        <f t="shared" si="5"/>
        <v>Fund if budget allows</v>
      </c>
    </row>
    <row r="9" spans="1:28" ht="57">
      <c r="A9" s="19" t="s">
        <v>22</v>
      </c>
      <c r="B9" s="19" t="s">
        <v>23</v>
      </c>
      <c r="C9" s="19" t="s">
        <v>24</v>
      </c>
      <c r="D9" s="19" t="s">
        <v>25</v>
      </c>
      <c r="E9" s="19" t="s">
        <v>408</v>
      </c>
      <c r="F9" s="19" t="s">
        <v>409</v>
      </c>
      <c r="G9" s="19" t="s">
        <v>410</v>
      </c>
      <c r="H9" s="31">
        <v>47300</v>
      </c>
      <c r="I9" s="31">
        <v>2400</v>
      </c>
      <c r="J9" s="31">
        <v>44900</v>
      </c>
      <c r="K9" s="19">
        <v>0</v>
      </c>
      <c r="L9" s="19">
        <v>0</v>
      </c>
      <c r="M9" s="19">
        <v>947027</v>
      </c>
      <c r="N9" s="31">
        <v>6629</v>
      </c>
      <c r="O9" s="19">
        <v>10</v>
      </c>
      <c r="P9" s="19">
        <v>4</v>
      </c>
      <c r="Q9" s="19">
        <v>5</v>
      </c>
      <c r="R9" s="19" t="s">
        <v>319</v>
      </c>
      <c r="S9" s="28">
        <v>0</v>
      </c>
      <c r="T9" s="19" t="s">
        <v>411</v>
      </c>
      <c r="U9" s="19" t="s">
        <v>393</v>
      </c>
      <c r="V9" s="19" t="s">
        <v>412</v>
      </c>
      <c r="W9" s="28">
        <f t="shared" si="0"/>
        <v>6.7732689696786847</v>
      </c>
      <c r="X9" s="31">
        <f t="shared" si="1"/>
        <v>66290</v>
      </c>
      <c r="Y9" s="31">
        <f t="shared" si="2"/>
        <v>21390</v>
      </c>
      <c r="Z9" s="28">
        <f t="shared" si="3"/>
        <v>0</v>
      </c>
      <c r="AA9" s="31" t="str">
        <f t="shared" si="4"/>
        <v/>
      </c>
      <c r="AB9" s="19" t="str">
        <f t="shared" si="5"/>
        <v>Fund if budget allows</v>
      </c>
    </row>
    <row r="10" spans="1:28" ht="57">
      <c r="A10" s="19" t="s">
        <v>22</v>
      </c>
      <c r="B10" s="19" t="s">
        <v>23</v>
      </c>
      <c r="C10" s="19" t="s">
        <v>24</v>
      </c>
      <c r="D10" s="19" t="s">
        <v>25</v>
      </c>
      <c r="E10" s="19" t="s">
        <v>413</v>
      </c>
      <c r="F10" s="19" t="s">
        <v>414</v>
      </c>
      <c r="G10" s="19" t="s">
        <v>415</v>
      </c>
      <c r="H10" s="31">
        <v>112300</v>
      </c>
      <c r="I10" s="31">
        <v>11200</v>
      </c>
      <c r="J10" s="31">
        <v>101100</v>
      </c>
      <c r="K10" s="19">
        <v>7466</v>
      </c>
      <c r="L10" s="19">
        <v>3886</v>
      </c>
      <c r="M10" s="19">
        <v>0</v>
      </c>
      <c r="N10" s="31">
        <v>5357</v>
      </c>
      <c r="O10" s="19">
        <v>15</v>
      </c>
      <c r="P10" s="19">
        <v>5</v>
      </c>
      <c r="Q10" s="19">
        <v>4</v>
      </c>
      <c r="R10" s="19" t="s">
        <v>319</v>
      </c>
      <c r="S10" s="28">
        <v>24.6</v>
      </c>
      <c r="T10" s="19" t="s">
        <v>416</v>
      </c>
      <c r="U10" s="19" t="s">
        <v>393</v>
      </c>
      <c r="V10" s="19" t="s">
        <v>417</v>
      </c>
      <c r="W10" s="28">
        <f t="shared" si="0"/>
        <v>18.872503266753782</v>
      </c>
      <c r="X10" s="31">
        <f t="shared" si="1"/>
        <v>80355</v>
      </c>
      <c r="Y10" s="31">
        <f t="shared" si="2"/>
        <v>-20745</v>
      </c>
      <c r="Z10" s="28">
        <f t="shared" si="3"/>
        <v>369</v>
      </c>
      <c r="AA10" s="31">
        <f t="shared" si="4"/>
        <v>273.98373983739839</v>
      </c>
      <c r="AB10" s="19" t="str">
        <f t="shared" si="5"/>
        <v>Study/defer</v>
      </c>
    </row>
    <row r="11" spans="1:28" ht="71.25">
      <c r="A11" s="19" t="s">
        <v>22</v>
      </c>
      <c r="B11" s="19" t="s">
        <v>23</v>
      </c>
      <c r="C11" s="19" t="s">
        <v>24</v>
      </c>
      <c r="D11" s="19" t="s">
        <v>25</v>
      </c>
      <c r="E11" s="19" t="s">
        <v>418</v>
      </c>
      <c r="F11" s="19" t="s">
        <v>419</v>
      </c>
      <c r="G11" s="19" t="s">
        <v>420</v>
      </c>
      <c r="H11" s="31">
        <v>205000</v>
      </c>
      <c r="I11" s="31">
        <v>24600</v>
      </c>
      <c r="J11" s="31">
        <v>180400</v>
      </c>
      <c r="K11" s="19">
        <v>-43551</v>
      </c>
      <c r="L11" s="19">
        <v>5979</v>
      </c>
      <c r="M11" s="19">
        <v>0</v>
      </c>
      <c r="N11" s="31">
        <v>262</v>
      </c>
      <c r="O11" s="19">
        <v>12</v>
      </c>
      <c r="P11" s="19">
        <v>3</v>
      </c>
      <c r="Q11" s="19">
        <v>3</v>
      </c>
      <c r="R11" s="19" t="s">
        <v>322</v>
      </c>
      <c r="S11" s="28">
        <v>8.8000000000000007</v>
      </c>
      <c r="T11" s="19" t="s">
        <v>421</v>
      </c>
      <c r="U11" s="19" t="s">
        <v>393</v>
      </c>
      <c r="V11" s="19" t="s">
        <v>422</v>
      </c>
      <c r="W11" s="28">
        <f t="shared" si="0"/>
        <v>688.54961832061065</v>
      </c>
      <c r="X11" s="31">
        <f t="shared" si="1"/>
        <v>3144</v>
      </c>
      <c r="Y11" s="31">
        <f t="shared" si="2"/>
        <v>-177256</v>
      </c>
      <c r="Z11" s="28">
        <f t="shared" si="3"/>
        <v>105.60000000000001</v>
      </c>
      <c r="AA11" s="31">
        <f t="shared" si="4"/>
        <v>1708.3333333333333</v>
      </c>
      <c r="AB11" s="19" t="str">
        <f t="shared" si="5"/>
        <v>Study/defer</v>
      </c>
    </row>
    <row r="12" spans="1:28" ht="85.5">
      <c r="A12" s="19" t="s">
        <v>22</v>
      </c>
      <c r="B12" s="19" t="s">
        <v>23</v>
      </c>
      <c r="C12" s="19" t="s">
        <v>24</v>
      </c>
      <c r="D12" s="19" t="s">
        <v>25</v>
      </c>
      <c r="E12" s="19" t="s">
        <v>423</v>
      </c>
      <c r="F12" s="19" t="s">
        <v>424</v>
      </c>
      <c r="G12" s="19" t="s">
        <v>425</v>
      </c>
      <c r="H12" s="31">
        <v>187100</v>
      </c>
      <c r="I12" s="31">
        <v>25000</v>
      </c>
      <c r="J12" s="31">
        <v>162100</v>
      </c>
      <c r="K12" s="19">
        <v>149317</v>
      </c>
      <c r="L12" s="19">
        <v>0</v>
      </c>
      <c r="M12" s="19">
        <v>0</v>
      </c>
      <c r="N12" s="31">
        <v>21651</v>
      </c>
      <c r="O12" s="19">
        <v>20</v>
      </c>
      <c r="P12" s="19">
        <v>2</v>
      </c>
      <c r="Q12" s="19">
        <v>4</v>
      </c>
      <c r="R12" s="19" t="s">
        <v>322</v>
      </c>
      <c r="S12" s="28">
        <v>78.8</v>
      </c>
      <c r="T12" s="19" t="s">
        <v>426</v>
      </c>
      <c r="U12" s="19" t="s">
        <v>393</v>
      </c>
      <c r="V12" s="19" t="s">
        <v>427</v>
      </c>
      <c r="W12" s="28">
        <f t="shared" si="0"/>
        <v>7.4869521038289228</v>
      </c>
      <c r="X12" s="31">
        <f t="shared" si="1"/>
        <v>433020</v>
      </c>
      <c r="Y12" s="31">
        <f t="shared" si="2"/>
        <v>270920</v>
      </c>
      <c r="Z12" s="28">
        <f t="shared" si="3"/>
        <v>1576</v>
      </c>
      <c r="AA12" s="31">
        <f t="shared" si="4"/>
        <v>102.85532994923858</v>
      </c>
      <c r="AB12" s="19" t="str">
        <f t="shared" si="5"/>
        <v>Study/defer</v>
      </c>
    </row>
    <row r="13" spans="1:28" ht="99.75">
      <c r="A13" s="19" t="s">
        <v>22</v>
      </c>
      <c r="B13" s="19" t="s">
        <v>23</v>
      </c>
      <c r="C13" s="19" t="s">
        <v>24</v>
      </c>
      <c r="D13" s="19" t="s">
        <v>25</v>
      </c>
      <c r="E13" s="19" t="s">
        <v>428</v>
      </c>
      <c r="F13" s="19" t="s">
        <v>429</v>
      </c>
      <c r="G13" s="19" t="s">
        <v>430</v>
      </c>
      <c r="H13" s="31">
        <v>12500</v>
      </c>
      <c r="I13" s="31">
        <v>0</v>
      </c>
      <c r="J13" s="31">
        <v>12500</v>
      </c>
      <c r="K13" s="19">
        <v>0</v>
      </c>
      <c r="L13" s="19">
        <v>0</v>
      </c>
      <c r="M13" s="19">
        <v>0</v>
      </c>
      <c r="N13" s="31">
        <v>3240</v>
      </c>
      <c r="O13" s="19">
        <v>3</v>
      </c>
      <c r="P13" s="19">
        <v>3</v>
      </c>
      <c r="Q13" s="19">
        <v>3</v>
      </c>
      <c r="R13" s="19" t="s">
        <v>335</v>
      </c>
      <c r="S13" s="28">
        <v>0</v>
      </c>
      <c r="T13" s="19" t="s">
        <v>431</v>
      </c>
      <c r="U13" s="19" t="s">
        <v>393</v>
      </c>
      <c r="V13" s="19" t="s">
        <v>432</v>
      </c>
      <c r="W13" s="28">
        <f t="shared" si="0"/>
        <v>3.8580246913580245</v>
      </c>
      <c r="X13" s="31">
        <f t="shared" si="1"/>
        <v>9720</v>
      </c>
      <c r="Y13" s="31">
        <f t="shared" si="2"/>
        <v>-2780</v>
      </c>
      <c r="Z13" s="28">
        <f t="shared" si="3"/>
        <v>0</v>
      </c>
      <c r="AA13" s="31" t="str">
        <f t="shared" si="4"/>
        <v/>
      </c>
      <c r="AB13" s="19" t="str">
        <f t="shared" si="5"/>
        <v>Fund if budget allows</v>
      </c>
    </row>
    <row r="14" spans="1:28" ht="71.25">
      <c r="A14" s="19" t="s">
        <v>28</v>
      </c>
      <c r="B14" s="19" t="s">
        <v>29</v>
      </c>
      <c r="C14" s="19" t="s">
        <v>30</v>
      </c>
      <c r="D14" s="19" t="s">
        <v>30</v>
      </c>
      <c r="E14" s="19" t="s">
        <v>433</v>
      </c>
      <c r="F14" s="19" t="s">
        <v>390</v>
      </c>
      <c r="G14" s="19" t="s">
        <v>391</v>
      </c>
      <c r="H14" s="31">
        <v>102100</v>
      </c>
      <c r="I14" s="31">
        <v>12300</v>
      </c>
      <c r="J14" s="31">
        <v>89800</v>
      </c>
      <c r="K14" s="19">
        <v>62448</v>
      </c>
      <c r="L14" s="19">
        <v>0</v>
      </c>
      <c r="M14" s="19">
        <v>0</v>
      </c>
      <c r="N14" s="31">
        <v>9055</v>
      </c>
      <c r="O14" s="19">
        <v>10</v>
      </c>
      <c r="P14" s="19">
        <v>2</v>
      </c>
      <c r="Q14" s="19">
        <v>5</v>
      </c>
      <c r="R14" s="19" t="s">
        <v>335</v>
      </c>
      <c r="S14" s="28">
        <v>33</v>
      </c>
      <c r="T14" s="19" t="s">
        <v>392</v>
      </c>
      <c r="U14" s="19" t="s">
        <v>393</v>
      </c>
      <c r="V14" s="19" t="s">
        <v>394</v>
      </c>
      <c r="W14" s="28">
        <f t="shared" si="0"/>
        <v>9.917172832689122</v>
      </c>
      <c r="X14" s="31">
        <f t="shared" si="1"/>
        <v>90550</v>
      </c>
      <c r="Y14" s="31">
        <f t="shared" si="2"/>
        <v>750</v>
      </c>
      <c r="Z14" s="28">
        <f t="shared" si="3"/>
        <v>330</v>
      </c>
      <c r="AA14" s="31">
        <f t="shared" si="4"/>
        <v>272.12121212121212</v>
      </c>
      <c r="AB14" s="19" t="str">
        <f t="shared" si="5"/>
        <v>Study/defer</v>
      </c>
    </row>
    <row r="15" spans="1:28" ht="71.25">
      <c r="A15" s="19" t="s">
        <v>28</v>
      </c>
      <c r="B15" s="19" t="s">
        <v>29</v>
      </c>
      <c r="C15" s="19" t="s">
        <v>30</v>
      </c>
      <c r="D15" s="19" t="s">
        <v>30</v>
      </c>
      <c r="E15" s="19" t="s">
        <v>434</v>
      </c>
      <c r="F15" s="19" t="s">
        <v>396</v>
      </c>
      <c r="G15" s="19" t="s">
        <v>391</v>
      </c>
      <c r="H15" s="31">
        <v>66300</v>
      </c>
      <c r="I15" s="31">
        <v>6600</v>
      </c>
      <c r="J15" s="31">
        <v>59700</v>
      </c>
      <c r="K15" s="19">
        <v>0</v>
      </c>
      <c r="L15" s="19">
        <v>8669</v>
      </c>
      <c r="M15" s="19">
        <v>0</v>
      </c>
      <c r="N15" s="31">
        <v>9536</v>
      </c>
      <c r="O15" s="19">
        <v>8</v>
      </c>
      <c r="P15" s="19">
        <v>3</v>
      </c>
      <c r="Q15" s="19">
        <v>5</v>
      </c>
      <c r="R15" s="19" t="s">
        <v>319</v>
      </c>
      <c r="S15" s="28">
        <v>46</v>
      </c>
      <c r="T15" s="19" t="s">
        <v>392</v>
      </c>
      <c r="U15" s="19" t="s">
        <v>393</v>
      </c>
      <c r="V15" s="19" t="s">
        <v>397</v>
      </c>
      <c r="W15" s="28">
        <f t="shared" si="0"/>
        <v>6.2604865771812079</v>
      </c>
      <c r="X15" s="31">
        <f t="shared" si="1"/>
        <v>76288</v>
      </c>
      <c r="Y15" s="31">
        <f t="shared" si="2"/>
        <v>16588</v>
      </c>
      <c r="Z15" s="28">
        <f t="shared" si="3"/>
        <v>368</v>
      </c>
      <c r="AA15" s="31">
        <f t="shared" si="4"/>
        <v>162.22826086956522</v>
      </c>
      <c r="AB15" s="19" t="str">
        <f t="shared" si="5"/>
        <v>Fund if budget allows</v>
      </c>
    </row>
    <row r="16" spans="1:28" ht="57">
      <c r="A16" s="19" t="s">
        <v>28</v>
      </c>
      <c r="B16" s="19" t="s">
        <v>29</v>
      </c>
      <c r="C16" s="19" t="s">
        <v>30</v>
      </c>
      <c r="D16" s="19" t="s">
        <v>30</v>
      </c>
      <c r="E16" s="19" t="s">
        <v>435</v>
      </c>
      <c r="F16" s="19" t="s">
        <v>399</v>
      </c>
      <c r="G16" s="19" t="s">
        <v>400</v>
      </c>
      <c r="H16" s="31">
        <v>123300</v>
      </c>
      <c r="I16" s="31">
        <v>12300</v>
      </c>
      <c r="J16" s="31">
        <v>111000</v>
      </c>
      <c r="K16" s="19">
        <v>21411</v>
      </c>
      <c r="L16" s="19">
        <v>4876</v>
      </c>
      <c r="M16" s="19">
        <v>0</v>
      </c>
      <c r="N16" s="31">
        <v>8468</v>
      </c>
      <c r="O16" s="19">
        <v>8</v>
      </c>
      <c r="P16" s="19">
        <v>5</v>
      </c>
      <c r="Q16" s="19">
        <v>4</v>
      </c>
      <c r="R16" s="19" t="s">
        <v>319</v>
      </c>
      <c r="S16" s="28">
        <v>37.200000000000003</v>
      </c>
      <c r="T16" s="19" t="s">
        <v>401</v>
      </c>
      <c r="U16" s="19" t="s">
        <v>393</v>
      </c>
      <c r="V16" s="19" t="s">
        <v>402</v>
      </c>
      <c r="W16" s="28">
        <f t="shared" si="0"/>
        <v>13.108171941426548</v>
      </c>
      <c r="X16" s="31">
        <f t="shared" si="1"/>
        <v>67744</v>
      </c>
      <c r="Y16" s="31">
        <f t="shared" si="2"/>
        <v>-43256</v>
      </c>
      <c r="Z16" s="28">
        <f t="shared" si="3"/>
        <v>297.60000000000002</v>
      </c>
      <c r="AA16" s="31">
        <f t="shared" si="4"/>
        <v>372.98387096774189</v>
      </c>
      <c r="AB16" s="19" t="str">
        <f t="shared" si="5"/>
        <v>Study/defer</v>
      </c>
    </row>
    <row r="17" spans="1:28" ht="57">
      <c r="A17" s="19" t="s">
        <v>28</v>
      </c>
      <c r="B17" s="19" t="s">
        <v>29</v>
      </c>
      <c r="C17" s="19" t="s">
        <v>30</v>
      </c>
      <c r="D17" s="19" t="s">
        <v>30</v>
      </c>
      <c r="E17" s="19" t="s">
        <v>436</v>
      </c>
      <c r="F17" s="19" t="s">
        <v>404</v>
      </c>
      <c r="G17" s="19" t="s">
        <v>405</v>
      </c>
      <c r="H17" s="31">
        <v>81800</v>
      </c>
      <c r="I17" s="31">
        <v>6500</v>
      </c>
      <c r="J17" s="31">
        <v>75300</v>
      </c>
      <c r="K17" s="19">
        <v>0</v>
      </c>
      <c r="L17" s="19">
        <v>1625</v>
      </c>
      <c r="M17" s="19">
        <v>2722984</v>
      </c>
      <c r="N17" s="31">
        <v>20848</v>
      </c>
      <c r="O17" s="19">
        <v>10</v>
      </c>
      <c r="P17" s="19">
        <v>4</v>
      </c>
      <c r="Q17" s="19">
        <v>4</v>
      </c>
      <c r="R17" s="19" t="s">
        <v>335</v>
      </c>
      <c r="S17" s="28">
        <v>8.6</v>
      </c>
      <c r="T17" s="19" t="s">
        <v>406</v>
      </c>
      <c r="U17" s="19" t="s">
        <v>393</v>
      </c>
      <c r="V17" s="19" t="s">
        <v>407</v>
      </c>
      <c r="W17" s="28">
        <f t="shared" si="0"/>
        <v>3.6118572524942438</v>
      </c>
      <c r="X17" s="31">
        <f t="shared" si="1"/>
        <v>208480</v>
      </c>
      <c r="Y17" s="31">
        <f t="shared" si="2"/>
        <v>133180</v>
      </c>
      <c r="Z17" s="28">
        <f t="shared" si="3"/>
        <v>86</v>
      </c>
      <c r="AA17" s="31">
        <f t="shared" si="4"/>
        <v>875.58139534883719</v>
      </c>
      <c r="AB17" s="19" t="str">
        <f t="shared" si="5"/>
        <v>Fund if budget allows</v>
      </c>
    </row>
    <row r="18" spans="1:28" ht="57">
      <c r="A18" s="19" t="s">
        <v>28</v>
      </c>
      <c r="B18" s="19" t="s">
        <v>29</v>
      </c>
      <c r="C18" s="19" t="s">
        <v>30</v>
      </c>
      <c r="D18" s="19" t="s">
        <v>30</v>
      </c>
      <c r="E18" s="19" t="s">
        <v>437</v>
      </c>
      <c r="F18" s="19" t="s">
        <v>409</v>
      </c>
      <c r="G18" s="19" t="s">
        <v>410</v>
      </c>
      <c r="H18" s="31">
        <v>63900</v>
      </c>
      <c r="I18" s="31">
        <v>3200</v>
      </c>
      <c r="J18" s="31">
        <v>60700</v>
      </c>
      <c r="K18" s="19">
        <v>0</v>
      </c>
      <c r="L18" s="19">
        <v>0</v>
      </c>
      <c r="M18" s="19">
        <v>1750490</v>
      </c>
      <c r="N18" s="31">
        <v>12253</v>
      </c>
      <c r="O18" s="19">
        <v>10</v>
      </c>
      <c r="P18" s="19">
        <v>4</v>
      </c>
      <c r="Q18" s="19">
        <v>5</v>
      </c>
      <c r="R18" s="19" t="s">
        <v>319</v>
      </c>
      <c r="S18" s="28">
        <v>0</v>
      </c>
      <c r="T18" s="19" t="s">
        <v>411</v>
      </c>
      <c r="U18" s="19" t="s">
        <v>393</v>
      </c>
      <c r="V18" s="19" t="s">
        <v>412</v>
      </c>
      <c r="W18" s="28">
        <f t="shared" si="0"/>
        <v>4.9538888435485191</v>
      </c>
      <c r="X18" s="31">
        <f t="shared" si="1"/>
        <v>122530</v>
      </c>
      <c r="Y18" s="31">
        <f t="shared" si="2"/>
        <v>61830</v>
      </c>
      <c r="Z18" s="28">
        <f t="shared" si="3"/>
        <v>0</v>
      </c>
      <c r="AA18" s="31" t="str">
        <f t="shared" si="4"/>
        <v/>
      </c>
      <c r="AB18" s="19" t="str">
        <f t="shared" si="5"/>
        <v>Fund if budget allows</v>
      </c>
    </row>
    <row r="19" spans="1:28" ht="57">
      <c r="A19" s="19" t="s">
        <v>28</v>
      </c>
      <c r="B19" s="19" t="s">
        <v>29</v>
      </c>
      <c r="C19" s="19" t="s">
        <v>30</v>
      </c>
      <c r="D19" s="19" t="s">
        <v>30</v>
      </c>
      <c r="E19" s="19" t="s">
        <v>438</v>
      </c>
      <c r="F19" s="19" t="s">
        <v>414</v>
      </c>
      <c r="G19" s="19" t="s">
        <v>415</v>
      </c>
      <c r="H19" s="31">
        <v>156600</v>
      </c>
      <c r="I19" s="31">
        <v>15700</v>
      </c>
      <c r="J19" s="31">
        <v>140900</v>
      </c>
      <c r="K19" s="19">
        <v>10705</v>
      </c>
      <c r="L19" s="19">
        <v>7043</v>
      </c>
      <c r="M19" s="19">
        <v>0</v>
      </c>
      <c r="N19" s="31">
        <v>9300</v>
      </c>
      <c r="O19" s="19">
        <v>15</v>
      </c>
      <c r="P19" s="19">
        <v>5</v>
      </c>
      <c r="Q19" s="19">
        <v>4</v>
      </c>
      <c r="R19" s="19" t="s">
        <v>319</v>
      </c>
      <c r="S19" s="28">
        <v>43.1</v>
      </c>
      <c r="T19" s="19" t="s">
        <v>416</v>
      </c>
      <c r="U19" s="19" t="s">
        <v>393</v>
      </c>
      <c r="V19" s="19" t="s">
        <v>417</v>
      </c>
      <c r="W19" s="28">
        <f t="shared" si="0"/>
        <v>15.150537634408602</v>
      </c>
      <c r="X19" s="31">
        <f t="shared" si="1"/>
        <v>139500</v>
      </c>
      <c r="Y19" s="31">
        <f t="shared" si="2"/>
        <v>-1400</v>
      </c>
      <c r="Z19" s="28">
        <f t="shared" si="3"/>
        <v>646.5</v>
      </c>
      <c r="AA19" s="31">
        <f t="shared" si="4"/>
        <v>217.94276875483371</v>
      </c>
      <c r="AB19" s="19" t="str">
        <f t="shared" si="5"/>
        <v>Study/defer</v>
      </c>
    </row>
    <row r="20" spans="1:28" ht="71.25">
      <c r="A20" s="19" t="s">
        <v>28</v>
      </c>
      <c r="B20" s="19" t="s">
        <v>29</v>
      </c>
      <c r="C20" s="19" t="s">
        <v>30</v>
      </c>
      <c r="D20" s="19" t="s">
        <v>30</v>
      </c>
      <c r="E20" s="19" t="s">
        <v>439</v>
      </c>
      <c r="F20" s="19" t="s">
        <v>419</v>
      </c>
      <c r="G20" s="19" t="s">
        <v>420</v>
      </c>
      <c r="H20" s="31">
        <v>280500</v>
      </c>
      <c r="I20" s="31">
        <v>33700</v>
      </c>
      <c r="J20" s="31">
        <v>246800</v>
      </c>
      <c r="K20" s="19">
        <v>-62448</v>
      </c>
      <c r="L20" s="19">
        <v>10836</v>
      </c>
      <c r="M20" s="19">
        <v>0</v>
      </c>
      <c r="N20" s="31">
        <v>2865</v>
      </c>
      <c r="O20" s="19">
        <v>12</v>
      </c>
      <c r="P20" s="19">
        <v>3</v>
      </c>
      <c r="Q20" s="19">
        <v>3</v>
      </c>
      <c r="R20" s="19" t="s">
        <v>322</v>
      </c>
      <c r="S20" s="28">
        <v>24.6</v>
      </c>
      <c r="T20" s="19" t="s">
        <v>421</v>
      </c>
      <c r="U20" s="19" t="s">
        <v>393</v>
      </c>
      <c r="V20" s="19" t="s">
        <v>422</v>
      </c>
      <c r="W20" s="28">
        <f t="shared" si="0"/>
        <v>86.143106457242581</v>
      </c>
      <c r="X20" s="31">
        <f t="shared" si="1"/>
        <v>34380</v>
      </c>
      <c r="Y20" s="31">
        <f t="shared" si="2"/>
        <v>-212420</v>
      </c>
      <c r="Z20" s="28">
        <f t="shared" si="3"/>
        <v>295.20000000000005</v>
      </c>
      <c r="AA20" s="31">
        <f t="shared" si="4"/>
        <v>836.04336043360422</v>
      </c>
      <c r="AB20" s="19" t="str">
        <f t="shared" si="5"/>
        <v>Study/defer</v>
      </c>
    </row>
    <row r="21" spans="1:28" ht="85.5">
      <c r="A21" s="19" t="s">
        <v>28</v>
      </c>
      <c r="B21" s="19" t="s">
        <v>29</v>
      </c>
      <c r="C21" s="19" t="s">
        <v>30</v>
      </c>
      <c r="D21" s="19" t="s">
        <v>30</v>
      </c>
      <c r="E21" s="19" t="s">
        <v>440</v>
      </c>
      <c r="F21" s="19" t="s">
        <v>424</v>
      </c>
      <c r="G21" s="19" t="s">
        <v>425</v>
      </c>
      <c r="H21" s="31">
        <v>225600</v>
      </c>
      <c r="I21" s="31">
        <v>25000</v>
      </c>
      <c r="J21" s="31">
        <v>200600</v>
      </c>
      <c r="K21" s="19">
        <v>214106</v>
      </c>
      <c r="L21" s="19">
        <v>0</v>
      </c>
      <c r="M21" s="19">
        <v>0</v>
      </c>
      <c r="N21" s="31">
        <v>31045</v>
      </c>
      <c r="O21" s="19">
        <v>20</v>
      </c>
      <c r="P21" s="19">
        <v>2</v>
      </c>
      <c r="Q21" s="19">
        <v>4</v>
      </c>
      <c r="R21" s="19" t="s">
        <v>322</v>
      </c>
      <c r="S21" s="28">
        <v>113</v>
      </c>
      <c r="T21" s="19" t="s">
        <v>426</v>
      </c>
      <c r="U21" s="19" t="s">
        <v>393</v>
      </c>
      <c r="V21" s="19" t="s">
        <v>427</v>
      </c>
      <c r="W21" s="28">
        <f t="shared" si="0"/>
        <v>6.4615880173941056</v>
      </c>
      <c r="X21" s="31">
        <f t="shared" si="1"/>
        <v>620900</v>
      </c>
      <c r="Y21" s="31">
        <f t="shared" si="2"/>
        <v>420300</v>
      </c>
      <c r="Z21" s="28">
        <f t="shared" si="3"/>
        <v>2260</v>
      </c>
      <c r="AA21" s="31">
        <f t="shared" si="4"/>
        <v>88.761061946902657</v>
      </c>
      <c r="AB21" s="19" t="str">
        <f t="shared" si="5"/>
        <v>Fund if budget allows</v>
      </c>
    </row>
    <row r="22" spans="1:28" ht="99.75">
      <c r="A22" s="19" t="s">
        <v>28</v>
      </c>
      <c r="B22" s="19" t="s">
        <v>29</v>
      </c>
      <c r="C22" s="19" t="s">
        <v>30</v>
      </c>
      <c r="D22" s="19" t="s">
        <v>30</v>
      </c>
      <c r="E22" s="19" t="s">
        <v>441</v>
      </c>
      <c r="F22" s="19" t="s">
        <v>429</v>
      </c>
      <c r="G22" s="19" t="s">
        <v>430</v>
      </c>
      <c r="H22" s="31">
        <v>16100</v>
      </c>
      <c r="I22" s="31">
        <v>0</v>
      </c>
      <c r="J22" s="31">
        <v>16100</v>
      </c>
      <c r="K22" s="19">
        <v>0</v>
      </c>
      <c r="L22" s="19">
        <v>0</v>
      </c>
      <c r="M22" s="19">
        <v>0</v>
      </c>
      <c r="N22" s="31">
        <v>4320</v>
      </c>
      <c r="O22" s="19">
        <v>3</v>
      </c>
      <c r="P22" s="19">
        <v>3</v>
      </c>
      <c r="Q22" s="19">
        <v>3</v>
      </c>
      <c r="R22" s="19" t="s">
        <v>335</v>
      </c>
      <c r="S22" s="28">
        <v>0</v>
      </c>
      <c r="T22" s="19" t="s">
        <v>431</v>
      </c>
      <c r="U22" s="19" t="s">
        <v>393</v>
      </c>
      <c r="V22" s="19" t="s">
        <v>432</v>
      </c>
      <c r="W22" s="28">
        <f t="shared" si="0"/>
        <v>3.7268518518518516</v>
      </c>
      <c r="X22" s="31">
        <f t="shared" si="1"/>
        <v>12960</v>
      </c>
      <c r="Y22" s="31">
        <f t="shared" si="2"/>
        <v>-3140</v>
      </c>
      <c r="Z22" s="28">
        <f t="shared" si="3"/>
        <v>0</v>
      </c>
      <c r="AA22" s="31" t="str">
        <f t="shared" si="4"/>
        <v/>
      </c>
      <c r="AB22" s="19" t="str">
        <f t="shared" si="5"/>
        <v>Fund if budget allows</v>
      </c>
    </row>
    <row r="23" spans="1:28" ht="71.25">
      <c r="A23" s="19" t="s">
        <v>31</v>
      </c>
      <c r="B23" s="19" t="s">
        <v>32</v>
      </c>
      <c r="C23" s="19" t="s">
        <v>33</v>
      </c>
      <c r="D23" s="19" t="s">
        <v>34</v>
      </c>
      <c r="E23" s="19" t="s">
        <v>442</v>
      </c>
      <c r="F23" s="19" t="s">
        <v>390</v>
      </c>
      <c r="G23" s="19" t="s">
        <v>391</v>
      </c>
      <c r="H23" s="31">
        <v>66200</v>
      </c>
      <c r="I23" s="31">
        <v>7900</v>
      </c>
      <c r="J23" s="31">
        <v>58300</v>
      </c>
      <c r="K23" s="19">
        <v>34325</v>
      </c>
      <c r="L23" s="19">
        <v>0</v>
      </c>
      <c r="M23" s="19">
        <v>0</v>
      </c>
      <c r="N23" s="31">
        <v>4977</v>
      </c>
      <c r="O23" s="19">
        <v>10</v>
      </c>
      <c r="P23" s="19">
        <v>2</v>
      </c>
      <c r="Q23" s="19">
        <v>5</v>
      </c>
      <c r="R23" s="19" t="s">
        <v>335</v>
      </c>
      <c r="S23" s="28">
        <v>18.100000000000001</v>
      </c>
      <c r="T23" s="19" t="s">
        <v>392</v>
      </c>
      <c r="U23" s="19" t="s">
        <v>393</v>
      </c>
      <c r="V23" s="19" t="s">
        <v>394</v>
      </c>
      <c r="W23" s="28">
        <f t="shared" si="0"/>
        <v>11.7138838657826</v>
      </c>
      <c r="X23" s="31">
        <f t="shared" si="1"/>
        <v>49770</v>
      </c>
      <c r="Y23" s="31">
        <f t="shared" si="2"/>
        <v>-8530</v>
      </c>
      <c r="Z23" s="28">
        <f t="shared" si="3"/>
        <v>181</v>
      </c>
      <c r="AA23" s="31">
        <f t="shared" si="4"/>
        <v>322.09944751381215</v>
      </c>
      <c r="AB23" s="19" t="str">
        <f t="shared" si="5"/>
        <v>Study/defer</v>
      </c>
    </row>
    <row r="24" spans="1:28" ht="71.25">
      <c r="A24" s="19" t="s">
        <v>31</v>
      </c>
      <c r="B24" s="19" t="s">
        <v>32</v>
      </c>
      <c r="C24" s="19" t="s">
        <v>33</v>
      </c>
      <c r="D24" s="19" t="s">
        <v>34</v>
      </c>
      <c r="E24" s="19" t="s">
        <v>443</v>
      </c>
      <c r="F24" s="19" t="s">
        <v>396</v>
      </c>
      <c r="G24" s="19" t="s">
        <v>391</v>
      </c>
      <c r="H24" s="31">
        <v>45300</v>
      </c>
      <c r="I24" s="31">
        <v>4500</v>
      </c>
      <c r="J24" s="31">
        <v>40800</v>
      </c>
      <c r="K24" s="19">
        <v>0</v>
      </c>
      <c r="L24" s="19">
        <v>3803</v>
      </c>
      <c r="M24" s="19">
        <v>0</v>
      </c>
      <c r="N24" s="31">
        <v>4183</v>
      </c>
      <c r="O24" s="19">
        <v>8</v>
      </c>
      <c r="P24" s="19">
        <v>3</v>
      </c>
      <c r="Q24" s="19">
        <v>5</v>
      </c>
      <c r="R24" s="19" t="s">
        <v>319</v>
      </c>
      <c r="S24" s="28">
        <v>20.2</v>
      </c>
      <c r="T24" s="19" t="s">
        <v>392</v>
      </c>
      <c r="U24" s="19" t="s">
        <v>393</v>
      </c>
      <c r="V24" s="19" t="s">
        <v>397</v>
      </c>
      <c r="W24" s="28">
        <f t="shared" si="0"/>
        <v>9.753765240258188</v>
      </c>
      <c r="X24" s="31">
        <f t="shared" si="1"/>
        <v>33464</v>
      </c>
      <c r="Y24" s="31">
        <f t="shared" si="2"/>
        <v>-7336</v>
      </c>
      <c r="Z24" s="28">
        <f t="shared" si="3"/>
        <v>161.6</v>
      </c>
      <c r="AA24" s="31">
        <f t="shared" si="4"/>
        <v>252.47524752475249</v>
      </c>
      <c r="AB24" s="19" t="str">
        <f t="shared" si="5"/>
        <v>Study/defer</v>
      </c>
    </row>
    <row r="25" spans="1:28" ht="57">
      <c r="A25" s="19" t="s">
        <v>31</v>
      </c>
      <c r="B25" s="19" t="s">
        <v>32</v>
      </c>
      <c r="C25" s="19" t="s">
        <v>33</v>
      </c>
      <c r="D25" s="19" t="s">
        <v>34</v>
      </c>
      <c r="E25" s="19" t="s">
        <v>444</v>
      </c>
      <c r="F25" s="19" t="s">
        <v>399</v>
      </c>
      <c r="G25" s="19" t="s">
        <v>400</v>
      </c>
      <c r="H25" s="31">
        <v>79900</v>
      </c>
      <c r="I25" s="31">
        <v>8000</v>
      </c>
      <c r="J25" s="31">
        <v>71900</v>
      </c>
      <c r="K25" s="19">
        <v>11769</v>
      </c>
      <c r="L25" s="19">
        <v>2139</v>
      </c>
      <c r="M25" s="19">
        <v>0</v>
      </c>
      <c r="N25" s="31">
        <v>4059</v>
      </c>
      <c r="O25" s="19">
        <v>8</v>
      </c>
      <c r="P25" s="19">
        <v>5</v>
      </c>
      <c r="Q25" s="19">
        <v>4</v>
      </c>
      <c r="R25" s="19" t="s">
        <v>319</v>
      </c>
      <c r="S25" s="28">
        <v>17.600000000000001</v>
      </c>
      <c r="T25" s="19" t="s">
        <v>401</v>
      </c>
      <c r="U25" s="19" t="s">
        <v>393</v>
      </c>
      <c r="V25" s="19" t="s">
        <v>402</v>
      </c>
      <c r="W25" s="28">
        <f t="shared" si="0"/>
        <v>17.713722591771372</v>
      </c>
      <c r="X25" s="31">
        <f t="shared" si="1"/>
        <v>32472</v>
      </c>
      <c r="Y25" s="31">
        <f t="shared" si="2"/>
        <v>-39428</v>
      </c>
      <c r="Z25" s="28">
        <f t="shared" si="3"/>
        <v>140.80000000000001</v>
      </c>
      <c r="AA25" s="31">
        <f t="shared" si="4"/>
        <v>510.65340909090907</v>
      </c>
      <c r="AB25" s="19" t="str">
        <f t="shared" si="5"/>
        <v>Study/defer</v>
      </c>
    </row>
    <row r="26" spans="1:28" ht="57">
      <c r="A26" s="19" t="s">
        <v>31</v>
      </c>
      <c r="B26" s="19" t="s">
        <v>32</v>
      </c>
      <c r="C26" s="19" t="s">
        <v>33</v>
      </c>
      <c r="D26" s="19" t="s">
        <v>34</v>
      </c>
      <c r="E26" s="19" t="s">
        <v>445</v>
      </c>
      <c r="F26" s="19" t="s">
        <v>404</v>
      </c>
      <c r="G26" s="19" t="s">
        <v>405</v>
      </c>
      <c r="H26" s="31">
        <v>53100</v>
      </c>
      <c r="I26" s="31">
        <v>4200</v>
      </c>
      <c r="J26" s="31">
        <v>48900</v>
      </c>
      <c r="K26" s="19">
        <v>0</v>
      </c>
      <c r="L26" s="19">
        <v>713</v>
      </c>
      <c r="M26" s="19">
        <v>1285695</v>
      </c>
      <c r="N26" s="31">
        <v>9784</v>
      </c>
      <c r="O26" s="19">
        <v>10</v>
      </c>
      <c r="P26" s="19">
        <v>4</v>
      </c>
      <c r="Q26" s="19">
        <v>4</v>
      </c>
      <c r="R26" s="19" t="s">
        <v>335</v>
      </c>
      <c r="S26" s="28">
        <v>3.8</v>
      </c>
      <c r="T26" s="19" t="s">
        <v>406</v>
      </c>
      <c r="U26" s="19" t="s">
        <v>393</v>
      </c>
      <c r="V26" s="19" t="s">
        <v>407</v>
      </c>
      <c r="W26" s="28">
        <f t="shared" si="0"/>
        <v>4.9979558462796403</v>
      </c>
      <c r="X26" s="31">
        <f t="shared" si="1"/>
        <v>97840</v>
      </c>
      <c r="Y26" s="31">
        <f t="shared" si="2"/>
        <v>48940</v>
      </c>
      <c r="Z26" s="28">
        <f t="shared" si="3"/>
        <v>38</v>
      </c>
      <c r="AA26" s="31">
        <f t="shared" si="4"/>
        <v>1286.8421052631579</v>
      </c>
      <c r="AB26" s="19" t="str">
        <f t="shared" si="5"/>
        <v>Fund if budget allows</v>
      </c>
    </row>
    <row r="27" spans="1:28" ht="57">
      <c r="A27" s="19" t="s">
        <v>31</v>
      </c>
      <c r="B27" s="19" t="s">
        <v>32</v>
      </c>
      <c r="C27" s="19" t="s">
        <v>33</v>
      </c>
      <c r="D27" s="19" t="s">
        <v>34</v>
      </c>
      <c r="E27" s="19" t="s">
        <v>446</v>
      </c>
      <c r="F27" s="19" t="s">
        <v>409</v>
      </c>
      <c r="G27" s="19" t="s">
        <v>410</v>
      </c>
      <c r="H27" s="31">
        <v>43900</v>
      </c>
      <c r="I27" s="31">
        <v>2200</v>
      </c>
      <c r="J27" s="31">
        <v>41700</v>
      </c>
      <c r="K27" s="19">
        <v>0</v>
      </c>
      <c r="L27" s="19">
        <v>0</v>
      </c>
      <c r="M27" s="19">
        <v>826518</v>
      </c>
      <c r="N27" s="31">
        <v>5786</v>
      </c>
      <c r="O27" s="19">
        <v>10</v>
      </c>
      <c r="P27" s="19">
        <v>4</v>
      </c>
      <c r="Q27" s="19">
        <v>5</v>
      </c>
      <c r="R27" s="19" t="s">
        <v>319</v>
      </c>
      <c r="S27" s="28">
        <v>0</v>
      </c>
      <c r="T27" s="19" t="s">
        <v>411</v>
      </c>
      <c r="U27" s="19" t="s">
        <v>393</v>
      </c>
      <c r="V27" s="19" t="s">
        <v>412</v>
      </c>
      <c r="W27" s="28">
        <f t="shared" si="0"/>
        <v>7.20705150362945</v>
      </c>
      <c r="X27" s="31">
        <f t="shared" si="1"/>
        <v>57860</v>
      </c>
      <c r="Y27" s="31">
        <f t="shared" si="2"/>
        <v>16160</v>
      </c>
      <c r="Z27" s="28">
        <f t="shared" si="3"/>
        <v>0</v>
      </c>
      <c r="AA27" s="31" t="str">
        <f t="shared" si="4"/>
        <v/>
      </c>
      <c r="AB27" s="19" t="str">
        <f t="shared" si="5"/>
        <v>Study/defer</v>
      </c>
    </row>
    <row r="28" spans="1:28" ht="57">
      <c r="A28" s="19" t="s">
        <v>31</v>
      </c>
      <c r="B28" s="19" t="s">
        <v>32</v>
      </c>
      <c r="C28" s="19" t="s">
        <v>33</v>
      </c>
      <c r="D28" s="19" t="s">
        <v>34</v>
      </c>
      <c r="E28" s="19" t="s">
        <v>447</v>
      </c>
      <c r="F28" s="19" t="s">
        <v>414</v>
      </c>
      <c r="G28" s="19" t="s">
        <v>415</v>
      </c>
      <c r="H28" s="31">
        <v>101900</v>
      </c>
      <c r="I28" s="31">
        <v>10200</v>
      </c>
      <c r="J28" s="31">
        <v>91700</v>
      </c>
      <c r="K28" s="19">
        <v>5884</v>
      </c>
      <c r="L28" s="19">
        <v>3090</v>
      </c>
      <c r="M28" s="19">
        <v>0</v>
      </c>
      <c r="N28" s="31">
        <v>4252</v>
      </c>
      <c r="O28" s="19">
        <v>15</v>
      </c>
      <c r="P28" s="19">
        <v>5</v>
      </c>
      <c r="Q28" s="19">
        <v>4</v>
      </c>
      <c r="R28" s="19" t="s">
        <v>319</v>
      </c>
      <c r="S28" s="28">
        <v>19.5</v>
      </c>
      <c r="T28" s="19" t="s">
        <v>416</v>
      </c>
      <c r="U28" s="19" t="s">
        <v>393</v>
      </c>
      <c r="V28" s="19" t="s">
        <v>417</v>
      </c>
      <c r="W28" s="28">
        <f t="shared" si="0"/>
        <v>21.56632173095014</v>
      </c>
      <c r="X28" s="31">
        <f t="shared" si="1"/>
        <v>63780</v>
      </c>
      <c r="Y28" s="31">
        <f t="shared" si="2"/>
        <v>-27920</v>
      </c>
      <c r="Z28" s="28">
        <f t="shared" si="3"/>
        <v>292.5</v>
      </c>
      <c r="AA28" s="31">
        <f t="shared" si="4"/>
        <v>313.5042735042735</v>
      </c>
      <c r="AB28" s="19" t="str">
        <f t="shared" si="5"/>
        <v>Study/defer</v>
      </c>
    </row>
    <row r="29" spans="1:28" ht="71.25">
      <c r="A29" s="19" t="s">
        <v>31</v>
      </c>
      <c r="B29" s="19" t="s">
        <v>32</v>
      </c>
      <c r="C29" s="19" t="s">
        <v>33</v>
      </c>
      <c r="D29" s="19" t="s">
        <v>34</v>
      </c>
      <c r="E29" s="19" t="s">
        <v>448</v>
      </c>
      <c r="F29" s="19" t="s">
        <v>419</v>
      </c>
      <c r="G29" s="19" t="s">
        <v>420</v>
      </c>
      <c r="H29" s="31">
        <v>166300</v>
      </c>
      <c r="I29" s="31">
        <v>20000</v>
      </c>
      <c r="J29" s="31">
        <v>146300</v>
      </c>
      <c r="K29" s="19">
        <v>-34325</v>
      </c>
      <c r="L29" s="19">
        <v>4753</v>
      </c>
      <c r="M29" s="19">
        <v>0</v>
      </c>
      <c r="N29" s="31">
        <v>251</v>
      </c>
      <c r="O29" s="19">
        <v>12</v>
      </c>
      <c r="P29" s="19">
        <v>3</v>
      </c>
      <c r="Q29" s="19">
        <v>3</v>
      </c>
      <c r="R29" s="19" t="s">
        <v>322</v>
      </c>
      <c r="S29" s="28">
        <v>7.1</v>
      </c>
      <c r="T29" s="19" t="s">
        <v>421</v>
      </c>
      <c r="U29" s="19" t="s">
        <v>393</v>
      </c>
      <c r="V29" s="19" t="s">
        <v>422</v>
      </c>
      <c r="W29" s="28">
        <f t="shared" si="0"/>
        <v>582.86852589641433</v>
      </c>
      <c r="X29" s="31">
        <f t="shared" si="1"/>
        <v>3012</v>
      </c>
      <c r="Y29" s="31">
        <f t="shared" si="2"/>
        <v>-143288</v>
      </c>
      <c r="Z29" s="28">
        <f t="shared" si="3"/>
        <v>85.199999999999989</v>
      </c>
      <c r="AA29" s="31">
        <f t="shared" si="4"/>
        <v>1717.136150234742</v>
      </c>
      <c r="AB29" s="19" t="str">
        <f t="shared" si="5"/>
        <v>Study/defer</v>
      </c>
    </row>
    <row r="30" spans="1:28" ht="85.5">
      <c r="A30" s="19" t="s">
        <v>31</v>
      </c>
      <c r="B30" s="19" t="s">
        <v>32</v>
      </c>
      <c r="C30" s="19" t="s">
        <v>33</v>
      </c>
      <c r="D30" s="19" t="s">
        <v>34</v>
      </c>
      <c r="E30" s="19" t="s">
        <v>449</v>
      </c>
      <c r="F30" s="19" t="s">
        <v>424</v>
      </c>
      <c r="G30" s="19" t="s">
        <v>425</v>
      </c>
      <c r="H30" s="31">
        <v>150200</v>
      </c>
      <c r="I30" s="31">
        <v>25000</v>
      </c>
      <c r="J30" s="31">
        <v>125200</v>
      </c>
      <c r="K30" s="19">
        <v>117687</v>
      </c>
      <c r="L30" s="19">
        <v>0</v>
      </c>
      <c r="M30" s="19">
        <v>0</v>
      </c>
      <c r="N30" s="31">
        <v>17065</v>
      </c>
      <c r="O30" s="19">
        <v>20</v>
      </c>
      <c r="P30" s="19">
        <v>2</v>
      </c>
      <c r="Q30" s="19">
        <v>4</v>
      </c>
      <c r="R30" s="19" t="s">
        <v>322</v>
      </c>
      <c r="S30" s="28">
        <v>62.1</v>
      </c>
      <c r="T30" s="19" t="s">
        <v>426</v>
      </c>
      <c r="U30" s="19" t="s">
        <v>393</v>
      </c>
      <c r="V30" s="19" t="s">
        <v>427</v>
      </c>
      <c r="W30" s="28">
        <f t="shared" si="0"/>
        <v>7.336653970114269</v>
      </c>
      <c r="X30" s="31">
        <f t="shared" si="1"/>
        <v>341300</v>
      </c>
      <c r="Y30" s="31">
        <f t="shared" si="2"/>
        <v>216100</v>
      </c>
      <c r="Z30" s="28">
        <f t="shared" si="3"/>
        <v>1242</v>
      </c>
      <c r="AA30" s="31">
        <f t="shared" si="4"/>
        <v>100.80515297906602</v>
      </c>
      <c r="AB30" s="19" t="str">
        <f t="shared" si="5"/>
        <v>Study/defer</v>
      </c>
    </row>
    <row r="31" spans="1:28" ht="99.75">
      <c r="A31" s="19" t="s">
        <v>31</v>
      </c>
      <c r="B31" s="19" t="s">
        <v>32</v>
      </c>
      <c r="C31" s="19" t="s">
        <v>33</v>
      </c>
      <c r="D31" s="19" t="s">
        <v>34</v>
      </c>
      <c r="E31" s="19" t="s">
        <v>450</v>
      </c>
      <c r="F31" s="19" t="s">
        <v>429</v>
      </c>
      <c r="G31" s="19" t="s">
        <v>430</v>
      </c>
      <c r="H31" s="31">
        <v>11800</v>
      </c>
      <c r="I31" s="31">
        <v>0</v>
      </c>
      <c r="J31" s="31">
        <v>11800</v>
      </c>
      <c r="K31" s="19">
        <v>0</v>
      </c>
      <c r="L31" s="19">
        <v>0</v>
      </c>
      <c r="M31" s="19">
        <v>0</v>
      </c>
      <c r="N31" s="31">
        <v>2880</v>
      </c>
      <c r="O31" s="19">
        <v>3</v>
      </c>
      <c r="P31" s="19">
        <v>3</v>
      </c>
      <c r="Q31" s="19">
        <v>3</v>
      </c>
      <c r="R31" s="19" t="s">
        <v>335</v>
      </c>
      <c r="S31" s="28">
        <v>0</v>
      </c>
      <c r="T31" s="19" t="s">
        <v>431</v>
      </c>
      <c r="U31" s="19" t="s">
        <v>393</v>
      </c>
      <c r="V31" s="19" t="s">
        <v>432</v>
      </c>
      <c r="W31" s="28">
        <f t="shared" si="0"/>
        <v>4.0972222222222223</v>
      </c>
      <c r="X31" s="31">
        <f t="shared" si="1"/>
        <v>8640</v>
      </c>
      <c r="Y31" s="31">
        <f t="shared" si="2"/>
        <v>-3160</v>
      </c>
      <c r="Z31" s="28">
        <f t="shared" si="3"/>
        <v>0</v>
      </c>
      <c r="AA31" s="31" t="str">
        <f t="shared" si="4"/>
        <v/>
      </c>
      <c r="AB31" s="19" t="str">
        <f t="shared" si="5"/>
        <v>Fund if budget allows</v>
      </c>
    </row>
    <row r="32" spans="1:28" ht="71.25">
      <c r="A32" s="19" t="s">
        <v>35</v>
      </c>
      <c r="B32" s="19" t="s">
        <v>36</v>
      </c>
      <c r="C32" s="19" t="s">
        <v>37</v>
      </c>
      <c r="D32" s="19" t="s">
        <v>38</v>
      </c>
      <c r="E32" s="19" t="s">
        <v>451</v>
      </c>
      <c r="F32" s="19" t="s">
        <v>390</v>
      </c>
      <c r="G32" s="19" t="s">
        <v>391</v>
      </c>
      <c r="H32" s="31">
        <v>56400</v>
      </c>
      <c r="I32" s="31">
        <v>6800</v>
      </c>
      <c r="J32" s="31">
        <v>49600</v>
      </c>
      <c r="K32" s="19">
        <v>32248</v>
      </c>
      <c r="L32" s="19">
        <v>0</v>
      </c>
      <c r="M32" s="19">
        <v>0</v>
      </c>
      <c r="N32" s="31">
        <v>4676</v>
      </c>
      <c r="O32" s="19">
        <v>10</v>
      </c>
      <c r="P32" s="19">
        <v>2</v>
      </c>
      <c r="Q32" s="19">
        <v>5</v>
      </c>
      <c r="R32" s="19" t="s">
        <v>335</v>
      </c>
      <c r="S32" s="28">
        <v>17</v>
      </c>
      <c r="T32" s="19" t="s">
        <v>392</v>
      </c>
      <c r="U32" s="19" t="s">
        <v>393</v>
      </c>
      <c r="V32" s="19" t="s">
        <v>394</v>
      </c>
      <c r="W32" s="28">
        <f t="shared" si="0"/>
        <v>10.607356715141146</v>
      </c>
      <c r="X32" s="31">
        <f t="shared" si="1"/>
        <v>46760</v>
      </c>
      <c r="Y32" s="31">
        <f t="shared" si="2"/>
        <v>-2840</v>
      </c>
      <c r="Z32" s="28">
        <f t="shared" si="3"/>
        <v>170</v>
      </c>
      <c r="AA32" s="31">
        <f t="shared" si="4"/>
        <v>291.76470588235293</v>
      </c>
      <c r="AB32" s="19" t="str">
        <f t="shared" si="5"/>
        <v>Study/defer</v>
      </c>
    </row>
    <row r="33" spans="1:28" ht="71.25">
      <c r="A33" s="19" t="s">
        <v>35</v>
      </c>
      <c r="B33" s="19" t="s">
        <v>36</v>
      </c>
      <c r="C33" s="19" t="s">
        <v>37</v>
      </c>
      <c r="D33" s="19" t="s">
        <v>38</v>
      </c>
      <c r="E33" s="19" t="s">
        <v>452</v>
      </c>
      <c r="F33" s="19" t="s">
        <v>396</v>
      </c>
      <c r="G33" s="19" t="s">
        <v>391</v>
      </c>
      <c r="H33" s="31">
        <v>39700</v>
      </c>
      <c r="I33" s="31">
        <v>4000</v>
      </c>
      <c r="J33" s="31">
        <v>35700</v>
      </c>
      <c r="K33" s="19">
        <v>0</v>
      </c>
      <c r="L33" s="19">
        <v>3819</v>
      </c>
      <c r="M33" s="19">
        <v>0</v>
      </c>
      <c r="N33" s="31">
        <v>4201</v>
      </c>
      <c r="O33" s="19">
        <v>8</v>
      </c>
      <c r="P33" s="19">
        <v>3</v>
      </c>
      <c r="Q33" s="19">
        <v>5</v>
      </c>
      <c r="R33" s="19" t="s">
        <v>319</v>
      </c>
      <c r="S33" s="28">
        <v>20.3</v>
      </c>
      <c r="T33" s="19" t="s">
        <v>392</v>
      </c>
      <c r="U33" s="19" t="s">
        <v>393</v>
      </c>
      <c r="V33" s="19" t="s">
        <v>397</v>
      </c>
      <c r="W33" s="28">
        <f t="shared" si="0"/>
        <v>8.4979766722208989</v>
      </c>
      <c r="X33" s="31">
        <f t="shared" si="1"/>
        <v>33608</v>
      </c>
      <c r="Y33" s="31">
        <f t="shared" si="2"/>
        <v>-2092</v>
      </c>
      <c r="Z33" s="28">
        <f t="shared" si="3"/>
        <v>162.4</v>
      </c>
      <c r="AA33" s="31">
        <f t="shared" si="4"/>
        <v>219.82758620689654</v>
      </c>
      <c r="AB33" s="19" t="str">
        <f t="shared" si="5"/>
        <v>Study/defer</v>
      </c>
    </row>
    <row r="34" spans="1:28" ht="57">
      <c r="A34" s="19" t="s">
        <v>35</v>
      </c>
      <c r="B34" s="19" t="s">
        <v>36</v>
      </c>
      <c r="C34" s="19" t="s">
        <v>37</v>
      </c>
      <c r="D34" s="19" t="s">
        <v>38</v>
      </c>
      <c r="E34" s="19" t="s">
        <v>453</v>
      </c>
      <c r="F34" s="19" t="s">
        <v>399</v>
      </c>
      <c r="G34" s="19" t="s">
        <v>400</v>
      </c>
      <c r="H34" s="31">
        <v>66500</v>
      </c>
      <c r="I34" s="31">
        <v>6600</v>
      </c>
      <c r="J34" s="31">
        <v>59900</v>
      </c>
      <c r="K34" s="19">
        <v>11057</v>
      </c>
      <c r="L34" s="19">
        <v>2148</v>
      </c>
      <c r="M34" s="19">
        <v>0</v>
      </c>
      <c r="N34" s="31">
        <v>3966</v>
      </c>
      <c r="O34" s="19">
        <v>8</v>
      </c>
      <c r="P34" s="19">
        <v>5</v>
      </c>
      <c r="Q34" s="19">
        <v>4</v>
      </c>
      <c r="R34" s="19" t="s">
        <v>319</v>
      </c>
      <c r="S34" s="28">
        <v>17.2</v>
      </c>
      <c r="T34" s="19" t="s">
        <v>401</v>
      </c>
      <c r="U34" s="19" t="s">
        <v>393</v>
      </c>
      <c r="V34" s="19" t="s">
        <v>402</v>
      </c>
      <c r="W34" s="28">
        <f t="shared" si="0"/>
        <v>15.103378719112456</v>
      </c>
      <c r="X34" s="31">
        <f t="shared" si="1"/>
        <v>31728</v>
      </c>
      <c r="Y34" s="31">
        <f t="shared" si="2"/>
        <v>-28172</v>
      </c>
      <c r="Z34" s="28">
        <f t="shared" si="3"/>
        <v>137.6</v>
      </c>
      <c r="AA34" s="31">
        <f t="shared" si="4"/>
        <v>435.31976744186051</v>
      </c>
      <c r="AB34" s="19" t="str">
        <f t="shared" si="5"/>
        <v>Study/defer</v>
      </c>
    </row>
    <row r="35" spans="1:28" ht="57">
      <c r="A35" s="19" t="s">
        <v>35</v>
      </c>
      <c r="B35" s="19" t="s">
        <v>36</v>
      </c>
      <c r="C35" s="19" t="s">
        <v>37</v>
      </c>
      <c r="D35" s="19" t="s">
        <v>38</v>
      </c>
      <c r="E35" s="19" t="s">
        <v>454</v>
      </c>
      <c r="F35" s="19" t="s">
        <v>404</v>
      </c>
      <c r="G35" s="19" t="s">
        <v>405</v>
      </c>
      <c r="H35" s="31">
        <v>44200</v>
      </c>
      <c r="I35" s="31">
        <v>3500</v>
      </c>
      <c r="J35" s="31">
        <v>40700</v>
      </c>
      <c r="K35" s="19">
        <v>0</v>
      </c>
      <c r="L35" s="19">
        <v>716</v>
      </c>
      <c r="M35" s="19">
        <v>1320555</v>
      </c>
      <c r="N35" s="31">
        <v>10031</v>
      </c>
      <c r="O35" s="19">
        <v>10</v>
      </c>
      <c r="P35" s="19">
        <v>4</v>
      </c>
      <c r="Q35" s="19">
        <v>4</v>
      </c>
      <c r="R35" s="19" t="s">
        <v>335</v>
      </c>
      <c r="S35" s="28">
        <v>3.8</v>
      </c>
      <c r="T35" s="19" t="s">
        <v>406</v>
      </c>
      <c r="U35" s="19" t="s">
        <v>393</v>
      </c>
      <c r="V35" s="19" t="s">
        <v>407</v>
      </c>
      <c r="W35" s="28">
        <f t="shared" si="0"/>
        <v>4.0574219918253416</v>
      </c>
      <c r="X35" s="31">
        <f t="shared" si="1"/>
        <v>100310</v>
      </c>
      <c r="Y35" s="31">
        <f t="shared" si="2"/>
        <v>59610</v>
      </c>
      <c r="Z35" s="28">
        <f t="shared" si="3"/>
        <v>38</v>
      </c>
      <c r="AA35" s="31">
        <f t="shared" si="4"/>
        <v>1071.0526315789473</v>
      </c>
      <c r="AB35" s="19" t="str">
        <f t="shared" si="5"/>
        <v>Fund if budget allows</v>
      </c>
    </row>
    <row r="36" spans="1:28" ht="57">
      <c r="A36" s="19" t="s">
        <v>35</v>
      </c>
      <c r="B36" s="19" t="s">
        <v>36</v>
      </c>
      <c r="C36" s="19" t="s">
        <v>37</v>
      </c>
      <c r="D36" s="19" t="s">
        <v>38</v>
      </c>
      <c r="E36" s="19" t="s">
        <v>455</v>
      </c>
      <c r="F36" s="19" t="s">
        <v>409</v>
      </c>
      <c r="G36" s="19" t="s">
        <v>410</v>
      </c>
      <c r="H36" s="31">
        <v>37800</v>
      </c>
      <c r="I36" s="31">
        <v>1900</v>
      </c>
      <c r="J36" s="31">
        <v>35900</v>
      </c>
      <c r="K36" s="19">
        <v>0</v>
      </c>
      <c r="L36" s="19">
        <v>0</v>
      </c>
      <c r="M36" s="19">
        <v>848928</v>
      </c>
      <c r="N36" s="31">
        <v>5942</v>
      </c>
      <c r="O36" s="19">
        <v>10</v>
      </c>
      <c r="P36" s="19">
        <v>4</v>
      </c>
      <c r="Q36" s="19">
        <v>5</v>
      </c>
      <c r="R36" s="19" t="s">
        <v>319</v>
      </c>
      <c r="S36" s="28">
        <v>0</v>
      </c>
      <c r="T36" s="19" t="s">
        <v>411</v>
      </c>
      <c r="U36" s="19" t="s">
        <v>393</v>
      </c>
      <c r="V36" s="19" t="s">
        <v>412</v>
      </c>
      <c r="W36" s="28">
        <f t="shared" si="0"/>
        <v>6.0417367889599465</v>
      </c>
      <c r="X36" s="31">
        <f t="shared" si="1"/>
        <v>59420</v>
      </c>
      <c r="Y36" s="31">
        <f t="shared" si="2"/>
        <v>23520</v>
      </c>
      <c r="Z36" s="28">
        <f t="shared" si="3"/>
        <v>0</v>
      </c>
      <c r="AA36" s="31" t="str">
        <f t="shared" si="4"/>
        <v/>
      </c>
      <c r="AB36" s="19" t="str">
        <f t="shared" si="5"/>
        <v>Fund if budget allows</v>
      </c>
    </row>
    <row r="37" spans="1:28" ht="57">
      <c r="A37" s="19" t="s">
        <v>35</v>
      </c>
      <c r="B37" s="19" t="s">
        <v>36</v>
      </c>
      <c r="C37" s="19" t="s">
        <v>37</v>
      </c>
      <c r="D37" s="19" t="s">
        <v>38</v>
      </c>
      <c r="E37" s="19" t="s">
        <v>456</v>
      </c>
      <c r="F37" s="19" t="s">
        <v>414</v>
      </c>
      <c r="G37" s="19" t="s">
        <v>415</v>
      </c>
      <c r="H37" s="31">
        <v>76400</v>
      </c>
      <c r="I37" s="31">
        <v>7600</v>
      </c>
      <c r="J37" s="31">
        <v>68800</v>
      </c>
      <c r="K37" s="19">
        <v>5528</v>
      </c>
      <c r="L37" s="19">
        <v>3103</v>
      </c>
      <c r="M37" s="19">
        <v>0</v>
      </c>
      <c r="N37" s="31">
        <v>4215</v>
      </c>
      <c r="O37" s="19">
        <v>15</v>
      </c>
      <c r="P37" s="19">
        <v>5</v>
      </c>
      <c r="Q37" s="19">
        <v>4</v>
      </c>
      <c r="R37" s="19" t="s">
        <v>319</v>
      </c>
      <c r="S37" s="28">
        <v>19.399999999999999</v>
      </c>
      <c r="T37" s="19" t="s">
        <v>416</v>
      </c>
      <c r="U37" s="19" t="s">
        <v>393</v>
      </c>
      <c r="V37" s="19" t="s">
        <v>417</v>
      </c>
      <c r="W37" s="28">
        <f t="shared" si="0"/>
        <v>16.322657176749704</v>
      </c>
      <c r="X37" s="31">
        <f t="shared" si="1"/>
        <v>63225</v>
      </c>
      <c r="Y37" s="31">
        <f t="shared" si="2"/>
        <v>-5575</v>
      </c>
      <c r="Z37" s="28">
        <f t="shared" si="3"/>
        <v>291</v>
      </c>
      <c r="AA37" s="31">
        <f t="shared" si="4"/>
        <v>236.42611683848799</v>
      </c>
      <c r="AB37" s="19" t="str">
        <f t="shared" si="5"/>
        <v>Study/defer</v>
      </c>
    </row>
    <row r="38" spans="1:28" ht="71.25">
      <c r="A38" s="19" t="s">
        <v>35</v>
      </c>
      <c r="B38" s="19" t="s">
        <v>36</v>
      </c>
      <c r="C38" s="19" t="s">
        <v>37</v>
      </c>
      <c r="D38" s="19" t="s">
        <v>38</v>
      </c>
      <c r="E38" s="19" t="s">
        <v>457</v>
      </c>
      <c r="F38" s="19" t="s">
        <v>419</v>
      </c>
      <c r="G38" s="19" t="s">
        <v>420</v>
      </c>
      <c r="H38" s="31">
        <v>141900</v>
      </c>
      <c r="I38" s="31">
        <v>17000</v>
      </c>
      <c r="J38" s="31">
        <v>124900</v>
      </c>
      <c r="K38" s="19">
        <v>-32248</v>
      </c>
      <c r="L38" s="19">
        <v>4773</v>
      </c>
      <c r="M38" s="19">
        <v>0</v>
      </c>
      <c r="N38" s="31">
        <v>574</v>
      </c>
      <c r="O38" s="19">
        <v>12</v>
      </c>
      <c r="P38" s="19">
        <v>3</v>
      </c>
      <c r="Q38" s="19">
        <v>3</v>
      </c>
      <c r="R38" s="19" t="s">
        <v>322</v>
      </c>
      <c r="S38" s="28">
        <v>8.3000000000000007</v>
      </c>
      <c r="T38" s="19" t="s">
        <v>421</v>
      </c>
      <c r="U38" s="19" t="s">
        <v>393</v>
      </c>
      <c r="V38" s="19" t="s">
        <v>422</v>
      </c>
      <c r="W38" s="28">
        <f t="shared" si="0"/>
        <v>217.595818815331</v>
      </c>
      <c r="X38" s="31">
        <f t="shared" si="1"/>
        <v>6888</v>
      </c>
      <c r="Y38" s="31">
        <f t="shared" si="2"/>
        <v>-118012</v>
      </c>
      <c r="Z38" s="28">
        <f t="shared" si="3"/>
        <v>99.600000000000009</v>
      </c>
      <c r="AA38" s="31">
        <f t="shared" si="4"/>
        <v>1254.0160642570279</v>
      </c>
      <c r="AB38" s="19" t="str">
        <f t="shared" si="5"/>
        <v>Study/defer</v>
      </c>
    </row>
    <row r="39" spans="1:28" ht="85.5">
      <c r="A39" s="19" t="s">
        <v>35</v>
      </c>
      <c r="B39" s="19" t="s">
        <v>36</v>
      </c>
      <c r="C39" s="19" t="s">
        <v>37</v>
      </c>
      <c r="D39" s="19" t="s">
        <v>38</v>
      </c>
      <c r="E39" s="19" t="s">
        <v>458</v>
      </c>
      <c r="F39" s="19" t="s">
        <v>424</v>
      </c>
      <c r="G39" s="19" t="s">
        <v>425</v>
      </c>
      <c r="H39" s="31">
        <v>129800</v>
      </c>
      <c r="I39" s="31">
        <v>23400</v>
      </c>
      <c r="J39" s="31">
        <v>106400</v>
      </c>
      <c r="K39" s="19">
        <v>110565</v>
      </c>
      <c r="L39" s="19">
        <v>0</v>
      </c>
      <c r="M39" s="19">
        <v>0</v>
      </c>
      <c r="N39" s="31">
        <v>16032</v>
      </c>
      <c r="O39" s="19">
        <v>20</v>
      </c>
      <c r="P39" s="19">
        <v>2</v>
      </c>
      <c r="Q39" s="19">
        <v>4</v>
      </c>
      <c r="R39" s="19" t="s">
        <v>322</v>
      </c>
      <c r="S39" s="28">
        <v>58.4</v>
      </c>
      <c r="T39" s="19" t="s">
        <v>426</v>
      </c>
      <c r="U39" s="19" t="s">
        <v>393</v>
      </c>
      <c r="V39" s="19" t="s">
        <v>427</v>
      </c>
      <c r="W39" s="28">
        <f t="shared" si="0"/>
        <v>6.6367265469061874</v>
      </c>
      <c r="X39" s="31">
        <f t="shared" si="1"/>
        <v>320640</v>
      </c>
      <c r="Y39" s="31">
        <f t="shared" si="2"/>
        <v>214240</v>
      </c>
      <c r="Z39" s="28">
        <f t="shared" si="3"/>
        <v>1168</v>
      </c>
      <c r="AA39" s="31">
        <f t="shared" si="4"/>
        <v>91.095890410958901</v>
      </c>
      <c r="AB39" s="19" t="str">
        <f t="shared" si="5"/>
        <v>Fund if budget allows</v>
      </c>
    </row>
    <row r="40" spans="1:28" ht="99.75">
      <c r="A40" s="19" t="s">
        <v>35</v>
      </c>
      <c r="B40" s="19" t="s">
        <v>36</v>
      </c>
      <c r="C40" s="19" t="s">
        <v>37</v>
      </c>
      <c r="D40" s="19" t="s">
        <v>38</v>
      </c>
      <c r="E40" s="19" t="s">
        <v>459</v>
      </c>
      <c r="F40" s="19" t="s">
        <v>429</v>
      </c>
      <c r="G40" s="19" t="s">
        <v>430</v>
      </c>
      <c r="H40" s="31">
        <v>10500</v>
      </c>
      <c r="I40" s="31">
        <v>0</v>
      </c>
      <c r="J40" s="31">
        <v>10500</v>
      </c>
      <c r="K40" s="19">
        <v>0</v>
      </c>
      <c r="L40" s="19">
        <v>0</v>
      </c>
      <c r="M40" s="19">
        <v>0</v>
      </c>
      <c r="N40" s="31">
        <v>2340</v>
      </c>
      <c r="O40" s="19">
        <v>3</v>
      </c>
      <c r="P40" s="19">
        <v>3</v>
      </c>
      <c r="Q40" s="19">
        <v>3</v>
      </c>
      <c r="R40" s="19" t="s">
        <v>335</v>
      </c>
      <c r="S40" s="28">
        <v>0</v>
      </c>
      <c r="T40" s="19" t="s">
        <v>431</v>
      </c>
      <c r="U40" s="19" t="s">
        <v>393</v>
      </c>
      <c r="V40" s="19" t="s">
        <v>432</v>
      </c>
      <c r="W40" s="28">
        <f t="shared" si="0"/>
        <v>4.4871794871794872</v>
      </c>
      <c r="X40" s="31">
        <f t="shared" si="1"/>
        <v>7020</v>
      </c>
      <c r="Y40" s="31">
        <f t="shared" si="2"/>
        <v>-3480</v>
      </c>
      <c r="Z40" s="28">
        <f t="shared" si="3"/>
        <v>0</v>
      </c>
      <c r="AA40" s="31" t="str">
        <f t="shared" si="4"/>
        <v/>
      </c>
      <c r="AB40" s="19" t="str">
        <f t="shared" si="5"/>
        <v>Fund if budget allows</v>
      </c>
    </row>
    <row r="41" spans="1:28" ht="71.25">
      <c r="A41" s="19" t="s">
        <v>39</v>
      </c>
      <c r="B41" s="19" t="s">
        <v>40</v>
      </c>
      <c r="C41" s="19" t="s">
        <v>41</v>
      </c>
      <c r="D41" s="19" t="s">
        <v>41</v>
      </c>
      <c r="E41" s="19" t="s">
        <v>460</v>
      </c>
      <c r="F41" s="19" t="s">
        <v>390</v>
      </c>
      <c r="G41" s="19" t="s">
        <v>391</v>
      </c>
      <c r="H41" s="31">
        <v>44500</v>
      </c>
      <c r="I41" s="31">
        <v>5300</v>
      </c>
      <c r="J41" s="31">
        <v>39200</v>
      </c>
      <c r="K41" s="19">
        <v>22483</v>
      </c>
      <c r="L41" s="19">
        <v>0</v>
      </c>
      <c r="M41" s="19">
        <v>0</v>
      </c>
      <c r="N41" s="31">
        <v>3260</v>
      </c>
      <c r="O41" s="19">
        <v>10</v>
      </c>
      <c r="P41" s="19">
        <v>2</v>
      </c>
      <c r="Q41" s="19">
        <v>5</v>
      </c>
      <c r="R41" s="19" t="s">
        <v>335</v>
      </c>
      <c r="S41" s="28">
        <v>11.9</v>
      </c>
      <c r="T41" s="19" t="s">
        <v>392</v>
      </c>
      <c r="U41" s="19" t="s">
        <v>393</v>
      </c>
      <c r="V41" s="19" t="s">
        <v>394</v>
      </c>
      <c r="W41" s="28">
        <f t="shared" si="0"/>
        <v>12.024539877300613</v>
      </c>
      <c r="X41" s="31">
        <f t="shared" si="1"/>
        <v>32600</v>
      </c>
      <c r="Y41" s="31">
        <f t="shared" si="2"/>
        <v>-6600</v>
      </c>
      <c r="Z41" s="28">
        <f t="shared" si="3"/>
        <v>119</v>
      </c>
      <c r="AA41" s="31">
        <f t="shared" si="4"/>
        <v>329.41176470588238</v>
      </c>
      <c r="AB41" s="19" t="str">
        <f t="shared" si="5"/>
        <v>Study/defer</v>
      </c>
    </row>
    <row r="42" spans="1:28" ht="71.25">
      <c r="A42" s="19" t="s">
        <v>39</v>
      </c>
      <c r="B42" s="19" t="s">
        <v>40</v>
      </c>
      <c r="C42" s="19" t="s">
        <v>41</v>
      </c>
      <c r="D42" s="19" t="s">
        <v>41</v>
      </c>
      <c r="E42" s="19" t="s">
        <v>461</v>
      </c>
      <c r="F42" s="19" t="s">
        <v>396</v>
      </c>
      <c r="G42" s="19" t="s">
        <v>391</v>
      </c>
      <c r="H42" s="31">
        <v>32800</v>
      </c>
      <c r="I42" s="31">
        <v>3300</v>
      </c>
      <c r="J42" s="31">
        <v>29500</v>
      </c>
      <c r="K42" s="19">
        <v>0</v>
      </c>
      <c r="L42" s="19">
        <v>2025</v>
      </c>
      <c r="M42" s="19">
        <v>0</v>
      </c>
      <c r="N42" s="31">
        <v>2228</v>
      </c>
      <c r="O42" s="19">
        <v>8</v>
      </c>
      <c r="P42" s="19">
        <v>3</v>
      </c>
      <c r="Q42" s="19">
        <v>5</v>
      </c>
      <c r="R42" s="19" t="s">
        <v>319</v>
      </c>
      <c r="S42" s="28">
        <v>10.8</v>
      </c>
      <c r="T42" s="19" t="s">
        <v>392</v>
      </c>
      <c r="U42" s="19" t="s">
        <v>393</v>
      </c>
      <c r="V42" s="19" t="s">
        <v>397</v>
      </c>
      <c r="W42" s="28">
        <f t="shared" si="0"/>
        <v>13.240574506283663</v>
      </c>
      <c r="X42" s="31">
        <f t="shared" si="1"/>
        <v>17824</v>
      </c>
      <c r="Y42" s="31">
        <f t="shared" si="2"/>
        <v>-11676</v>
      </c>
      <c r="Z42" s="28">
        <f t="shared" si="3"/>
        <v>86.4</v>
      </c>
      <c r="AA42" s="31">
        <f t="shared" si="4"/>
        <v>341.43518518518516</v>
      </c>
      <c r="AB42" s="19" t="str">
        <f t="shared" si="5"/>
        <v>Study/defer</v>
      </c>
    </row>
    <row r="43" spans="1:28" ht="57">
      <c r="A43" s="19" t="s">
        <v>39</v>
      </c>
      <c r="B43" s="19" t="s">
        <v>40</v>
      </c>
      <c r="C43" s="19" t="s">
        <v>41</v>
      </c>
      <c r="D43" s="19" t="s">
        <v>41</v>
      </c>
      <c r="E43" s="19" t="s">
        <v>462</v>
      </c>
      <c r="F43" s="19" t="s">
        <v>399</v>
      </c>
      <c r="G43" s="19" t="s">
        <v>400</v>
      </c>
      <c r="H43" s="31">
        <v>51600</v>
      </c>
      <c r="I43" s="31">
        <v>5200</v>
      </c>
      <c r="J43" s="31">
        <v>46400</v>
      </c>
      <c r="K43" s="19">
        <v>7708</v>
      </c>
      <c r="L43" s="19">
        <v>1139</v>
      </c>
      <c r="M43" s="19">
        <v>0</v>
      </c>
      <c r="N43" s="31">
        <v>2371</v>
      </c>
      <c r="O43" s="19">
        <v>8</v>
      </c>
      <c r="P43" s="19">
        <v>5</v>
      </c>
      <c r="Q43" s="19">
        <v>4</v>
      </c>
      <c r="R43" s="19" t="s">
        <v>319</v>
      </c>
      <c r="S43" s="28">
        <v>10.1</v>
      </c>
      <c r="T43" s="19" t="s">
        <v>401</v>
      </c>
      <c r="U43" s="19" t="s">
        <v>393</v>
      </c>
      <c r="V43" s="19" t="s">
        <v>402</v>
      </c>
      <c r="W43" s="28">
        <f t="shared" si="0"/>
        <v>19.569801771404471</v>
      </c>
      <c r="X43" s="31">
        <f t="shared" si="1"/>
        <v>18968</v>
      </c>
      <c r="Y43" s="31">
        <f t="shared" si="2"/>
        <v>-27432</v>
      </c>
      <c r="Z43" s="28">
        <f t="shared" si="3"/>
        <v>80.8</v>
      </c>
      <c r="AA43" s="31">
        <f t="shared" si="4"/>
        <v>574.25742574257424</v>
      </c>
      <c r="AB43" s="19" t="str">
        <f t="shared" si="5"/>
        <v>Study/defer</v>
      </c>
    </row>
    <row r="44" spans="1:28" ht="57">
      <c r="A44" s="19" t="s">
        <v>39</v>
      </c>
      <c r="B44" s="19" t="s">
        <v>40</v>
      </c>
      <c r="C44" s="19" t="s">
        <v>41</v>
      </c>
      <c r="D44" s="19" t="s">
        <v>41</v>
      </c>
      <c r="E44" s="19" t="s">
        <v>463</v>
      </c>
      <c r="F44" s="19" t="s">
        <v>404</v>
      </c>
      <c r="G44" s="19" t="s">
        <v>405</v>
      </c>
      <c r="H44" s="31">
        <v>34300</v>
      </c>
      <c r="I44" s="31">
        <v>2700</v>
      </c>
      <c r="J44" s="31">
        <v>31600</v>
      </c>
      <c r="K44" s="19">
        <v>0</v>
      </c>
      <c r="L44" s="19">
        <v>380</v>
      </c>
      <c r="M44" s="19">
        <v>727041</v>
      </c>
      <c r="N44" s="31">
        <v>5507</v>
      </c>
      <c r="O44" s="19">
        <v>10</v>
      </c>
      <c r="P44" s="19">
        <v>4</v>
      </c>
      <c r="Q44" s="19">
        <v>4</v>
      </c>
      <c r="R44" s="19" t="s">
        <v>335</v>
      </c>
      <c r="S44" s="28">
        <v>2</v>
      </c>
      <c r="T44" s="19" t="s">
        <v>406</v>
      </c>
      <c r="U44" s="19" t="s">
        <v>393</v>
      </c>
      <c r="V44" s="19" t="s">
        <v>407</v>
      </c>
      <c r="W44" s="28">
        <f t="shared" si="0"/>
        <v>5.7381514436172143</v>
      </c>
      <c r="X44" s="31">
        <f t="shared" si="1"/>
        <v>55070</v>
      </c>
      <c r="Y44" s="31">
        <f t="shared" si="2"/>
        <v>23470</v>
      </c>
      <c r="Z44" s="28">
        <f t="shared" si="3"/>
        <v>20</v>
      </c>
      <c r="AA44" s="31">
        <f t="shared" si="4"/>
        <v>1580</v>
      </c>
      <c r="AB44" s="19" t="str">
        <f t="shared" si="5"/>
        <v>Fund if budget allows</v>
      </c>
    </row>
    <row r="45" spans="1:28" ht="57">
      <c r="A45" s="19" t="s">
        <v>39</v>
      </c>
      <c r="B45" s="19" t="s">
        <v>40</v>
      </c>
      <c r="C45" s="19" t="s">
        <v>41</v>
      </c>
      <c r="D45" s="19" t="s">
        <v>41</v>
      </c>
      <c r="E45" s="19" t="s">
        <v>464</v>
      </c>
      <c r="F45" s="19" t="s">
        <v>409</v>
      </c>
      <c r="G45" s="19" t="s">
        <v>410</v>
      </c>
      <c r="H45" s="31">
        <v>27200</v>
      </c>
      <c r="I45" s="31">
        <v>1400</v>
      </c>
      <c r="J45" s="31">
        <v>25800</v>
      </c>
      <c r="K45" s="19">
        <v>0</v>
      </c>
      <c r="L45" s="19">
        <v>0</v>
      </c>
      <c r="M45" s="19">
        <v>467384</v>
      </c>
      <c r="N45" s="31">
        <v>3272</v>
      </c>
      <c r="O45" s="19">
        <v>10</v>
      </c>
      <c r="P45" s="19">
        <v>4</v>
      </c>
      <c r="Q45" s="19">
        <v>5</v>
      </c>
      <c r="R45" s="19" t="s">
        <v>319</v>
      </c>
      <c r="S45" s="28">
        <v>0</v>
      </c>
      <c r="T45" s="19" t="s">
        <v>411</v>
      </c>
      <c r="U45" s="19" t="s">
        <v>393</v>
      </c>
      <c r="V45" s="19" t="s">
        <v>412</v>
      </c>
      <c r="W45" s="28">
        <f t="shared" si="0"/>
        <v>7.8850855745721269</v>
      </c>
      <c r="X45" s="31">
        <f t="shared" si="1"/>
        <v>32720</v>
      </c>
      <c r="Y45" s="31">
        <f t="shared" si="2"/>
        <v>6920</v>
      </c>
      <c r="Z45" s="28">
        <f t="shared" si="3"/>
        <v>0</v>
      </c>
      <c r="AA45" s="31" t="str">
        <f t="shared" si="4"/>
        <v/>
      </c>
      <c r="AB45" s="19" t="str">
        <f t="shared" si="5"/>
        <v>Study/defer</v>
      </c>
    </row>
    <row r="46" spans="1:28" ht="57">
      <c r="A46" s="19" t="s">
        <v>39</v>
      </c>
      <c r="B46" s="19" t="s">
        <v>40</v>
      </c>
      <c r="C46" s="19" t="s">
        <v>41</v>
      </c>
      <c r="D46" s="19" t="s">
        <v>41</v>
      </c>
      <c r="E46" s="19" t="s">
        <v>465</v>
      </c>
      <c r="F46" s="19" t="s">
        <v>414</v>
      </c>
      <c r="G46" s="19" t="s">
        <v>415</v>
      </c>
      <c r="H46" s="31">
        <v>60700</v>
      </c>
      <c r="I46" s="31">
        <v>6100</v>
      </c>
      <c r="J46" s="31">
        <v>54600</v>
      </c>
      <c r="K46" s="19">
        <v>3854</v>
      </c>
      <c r="L46" s="19">
        <v>1646</v>
      </c>
      <c r="M46" s="19">
        <v>0</v>
      </c>
      <c r="N46" s="31">
        <v>2369</v>
      </c>
      <c r="O46" s="19">
        <v>15</v>
      </c>
      <c r="P46" s="19">
        <v>5</v>
      </c>
      <c r="Q46" s="19">
        <v>4</v>
      </c>
      <c r="R46" s="19" t="s">
        <v>319</v>
      </c>
      <c r="S46" s="28">
        <v>10.8</v>
      </c>
      <c r="T46" s="19" t="s">
        <v>416</v>
      </c>
      <c r="U46" s="19" t="s">
        <v>393</v>
      </c>
      <c r="V46" s="19" t="s">
        <v>417</v>
      </c>
      <c r="W46" s="28">
        <f t="shared" si="0"/>
        <v>23.047699451245251</v>
      </c>
      <c r="X46" s="31">
        <f t="shared" si="1"/>
        <v>35535</v>
      </c>
      <c r="Y46" s="31">
        <f t="shared" si="2"/>
        <v>-19065</v>
      </c>
      <c r="Z46" s="28">
        <f t="shared" si="3"/>
        <v>162</v>
      </c>
      <c r="AA46" s="31">
        <f t="shared" si="4"/>
        <v>337.03703703703701</v>
      </c>
      <c r="AB46" s="19" t="str">
        <f t="shared" si="5"/>
        <v>Study/defer</v>
      </c>
    </row>
    <row r="47" spans="1:28" ht="71.25">
      <c r="A47" s="19" t="s">
        <v>39</v>
      </c>
      <c r="B47" s="19" t="s">
        <v>40</v>
      </c>
      <c r="C47" s="19" t="s">
        <v>41</v>
      </c>
      <c r="D47" s="19" t="s">
        <v>41</v>
      </c>
      <c r="E47" s="19" t="s">
        <v>466</v>
      </c>
      <c r="F47" s="19" t="s">
        <v>419</v>
      </c>
      <c r="G47" s="19" t="s">
        <v>420</v>
      </c>
      <c r="H47" s="31">
        <v>114500</v>
      </c>
      <c r="I47" s="31">
        <v>13700</v>
      </c>
      <c r="J47" s="31">
        <v>100800</v>
      </c>
      <c r="K47" s="19">
        <v>-22483</v>
      </c>
      <c r="L47" s="19">
        <v>2532</v>
      </c>
      <c r="M47" s="19">
        <v>0</v>
      </c>
      <c r="N47" s="31">
        <v>-475</v>
      </c>
      <c r="O47" s="19">
        <v>12</v>
      </c>
      <c r="P47" s="19">
        <v>3</v>
      </c>
      <c r="Q47" s="19">
        <v>3</v>
      </c>
      <c r="R47" s="19" t="s">
        <v>322</v>
      </c>
      <c r="S47" s="28">
        <v>1.6</v>
      </c>
      <c r="T47" s="19" t="s">
        <v>421</v>
      </c>
      <c r="U47" s="19" t="s">
        <v>393</v>
      </c>
      <c r="V47" s="19" t="s">
        <v>422</v>
      </c>
      <c r="W47" s="28">
        <f t="shared" si="0"/>
        <v>-212.21052631578948</v>
      </c>
      <c r="X47" s="31">
        <f t="shared" si="1"/>
        <v>-5700</v>
      </c>
      <c r="Y47" s="31">
        <f t="shared" si="2"/>
        <v>-106500</v>
      </c>
      <c r="Z47" s="28">
        <f t="shared" si="3"/>
        <v>19.200000000000003</v>
      </c>
      <c r="AA47" s="31">
        <f t="shared" si="4"/>
        <v>5249.9999999999991</v>
      </c>
      <c r="AB47" s="19" t="str">
        <f t="shared" si="5"/>
        <v>Fund if budget allows</v>
      </c>
    </row>
    <row r="48" spans="1:28" ht="85.5">
      <c r="A48" s="19" t="s">
        <v>39</v>
      </c>
      <c r="B48" s="19" t="s">
        <v>40</v>
      </c>
      <c r="C48" s="19" t="s">
        <v>41</v>
      </c>
      <c r="D48" s="19" t="s">
        <v>41</v>
      </c>
      <c r="E48" s="19" t="s">
        <v>467</v>
      </c>
      <c r="F48" s="19" t="s">
        <v>424</v>
      </c>
      <c r="G48" s="19" t="s">
        <v>425</v>
      </c>
      <c r="H48" s="31">
        <v>105100</v>
      </c>
      <c r="I48" s="31">
        <v>18900</v>
      </c>
      <c r="J48" s="31">
        <v>86200</v>
      </c>
      <c r="K48" s="19">
        <v>77084</v>
      </c>
      <c r="L48" s="19">
        <v>0</v>
      </c>
      <c r="M48" s="19">
        <v>0</v>
      </c>
      <c r="N48" s="31">
        <v>11177</v>
      </c>
      <c r="O48" s="19">
        <v>20</v>
      </c>
      <c r="P48" s="19">
        <v>2</v>
      </c>
      <c r="Q48" s="19">
        <v>4</v>
      </c>
      <c r="R48" s="19" t="s">
        <v>322</v>
      </c>
      <c r="S48" s="28">
        <v>40.700000000000003</v>
      </c>
      <c r="T48" s="19" t="s">
        <v>426</v>
      </c>
      <c r="U48" s="19" t="s">
        <v>393</v>
      </c>
      <c r="V48" s="19" t="s">
        <v>427</v>
      </c>
      <c r="W48" s="28">
        <f t="shared" si="0"/>
        <v>7.7122662610718438</v>
      </c>
      <c r="X48" s="31">
        <f t="shared" si="1"/>
        <v>223540</v>
      </c>
      <c r="Y48" s="31">
        <f t="shared" si="2"/>
        <v>137340</v>
      </c>
      <c r="Z48" s="28">
        <f t="shared" si="3"/>
        <v>814</v>
      </c>
      <c r="AA48" s="31">
        <f t="shared" si="4"/>
        <v>105.8968058968059</v>
      </c>
      <c r="AB48" s="19" t="str">
        <f t="shared" si="5"/>
        <v>Study/defer</v>
      </c>
    </row>
    <row r="49" spans="1:28" ht="99.75">
      <c r="A49" s="19" t="s">
        <v>39</v>
      </c>
      <c r="B49" s="19" t="s">
        <v>40</v>
      </c>
      <c r="C49" s="19" t="s">
        <v>41</v>
      </c>
      <c r="D49" s="19" t="s">
        <v>41</v>
      </c>
      <c r="E49" s="19" t="s">
        <v>468</v>
      </c>
      <c r="F49" s="19" t="s">
        <v>429</v>
      </c>
      <c r="G49" s="19" t="s">
        <v>430</v>
      </c>
      <c r="H49" s="31">
        <v>9000</v>
      </c>
      <c r="I49" s="31">
        <v>0</v>
      </c>
      <c r="J49" s="31">
        <v>9000</v>
      </c>
      <c r="K49" s="19">
        <v>0</v>
      </c>
      <c r="L49" s="19">
        <v>0</v>
      </c>
      <c r="M49" s="19">
        <v>0</v>
      </c>
      <c r="N49" s="31">
        <v>1890</v>
      </c>
      <c r="O49" s="19">
        <v>3</v>
      </c>
      <c r="P49" s="19">
        <v>3</v>
      </c>
      <c r="Q49" s="19">
        <v>3</v>
      </c>
      <c r="R49" s="19" t="s">
        <v>335</v>
      </c>
      <c r="S49" s="28">
        <v>0</v>
      </c>
      <c r="T49" s="19" t="s">
        <v>431</v>
      </c>
      <c r="U49" s="19" t="s">
        <v>393</v>
      </c>
      <c r="V49" s="19" t="s">
        <v>432</v>
      </c>
      <c r="W49" s="28">
        <f t="shared" si="0"/>
        <v>4.7619047619047619</v>
      </c>
      <c r="X49" s="31">
        <f t="shared" si="1"/>
        <v>5670</v>
      </c>
      <c r="Y49" s="31">
        <f t="shared" si="2"/>
        <v>-3330</v>
      </c>
      <c r="Z49" s="28">
        <f t="shared" si="3"/>
        <v>0</v>
      </c>
      <c r="AA49" s="31" t="str">
        <f t="shared" si="4"/>
        <v/>
      </c>
      <c r="AB49" s="19" t="str">
        <f t="shared" si="5"/>
        <v>Fund if budget allows</v>
      </c>
    </row>
    <row r="50" spans="1:28" ht="71.25">
      <c r="A50" s="19" t="s">
        <v>42</v>
      </c>
      <c r="B50" s="19" t="s">
        <v>43</v>
      </c>
      <c r="C50" s="19" t="s">
        <v>44</v>
      </c>
      <c r="D50" s="19" t="s">
        <v>44</v>
      </c>
      <c r="E50" s="19" t="s">
        <v>469</v>
      </c>
      <c r="F50" s="19" t="s">
        <v>390</v>
      </c>
      <c r="G50" s="19" t="s">
        <v>391</v>
      </c>
      <c r="H50" s="31">
        <v>90300</v>
      </c>
      <c r="I50" s="31">
        <v>10800</v>
      </c>
      <c r="J50" s="31">
        <v>79500</v>
      </c>
      <c r="K50" s="19">
        <v>53703</v>
      </c>
      <c r="L50" s="19">
        <v>0</v>
      </c>
      <c r="M50" s="19">
        <v>0</v>
      </c>
      <c r="N50" s="31">
        <v>7787</v>
      </c>
      <c r="O50" s="19">
        <v>10</v>
      </c>
      <c r="P50" s="19">
        <v>2</v>
      </c>
      <c r="Q50" s="19">
        <v>5</v>
      </c>
      <c r="R50" s="19" t="s">
        <v>335</v>
      </c>
      <c r="S50" s="28">
        <v>28.3</v>
      </c>
      <c r="T50" s="19" t="s">
        <v>392</v>
      </c>
      <c r="U50" s="19" t="s">
        <v>393</v>
      </c>
      <c r="V50" s="19" t="s">
        <v>394</v>
      </c>
      <c r="W50" s="28">
        <f t="shared" si="0"/>
        <v>10.209323231026069</v>
      </c>
      <c r="X50" s="31">
        <f t="shared" si="1"/>
        <v>77870</v>
      </c>
      <c r="Y50" s="31">
        <f t="shared" si="2"/>
        <v>-1630</v>
      </c>
      <c r="Z50" s="28">
        <f t="shared" si="3"/>
        <v>283</v>
      </c>
      <c r="AA50" s="31">
        <f t="shared" si="4"/>
        <v>280.91872791519432</v>
      </c>
      <c r="AB50" s="19" t="str">
        <f t="shared" si="5"/>
        <v>Study/defer</v>
      </c>
    </row>
    <row r="51" spans="1:28" ht="71.25">
      <c r="A51" s="19" t="s">
        <v>42</v>
      </c>
      <c r="B51" s="19" t="s">
        <v>43</v>
      </c>
      <c r="C51" s="19" t="s">
        <v>44</v>
      </c>
      <c r="D51" s="19" t="s">
        <v>44</v>
      </c>
      <c r="E51" s="19" t="s">
        <v>470</v>
      </c>
      <c r="F51" s="19" t="s">
        <v>396</v>
      </c>
      <c r="G51" s="19" t="s">
        <v>391</v>
      </c>
      <c r="H51" s="31">
        <v>59600</v>
      </c>
      <c r="I51" s="31">
        <v>6000</v>
      </c>
      <c r="J51" s="31">
        <v>53600</v>
      </c>
      <c r="K51" s="19">
        <v>0</v>
      </c>
      <c r="L51" s="19">
        <v>7455</v>
      </c>
      <c r="M51" s="19">
        <v>0</v>
      </c>
      <c r="N51" s="31">
        <v>8200</v>
      </c>
      <c r="O51" s="19">
        <v>8</v>
      </c>
      <c r="P51" s="19">
        <v>3</v>
      </c>
      <c r="Q51" s="19">
        <v>5</v>
      </c>
      <c r="R51" s="19" t="s">
        <v>319</v>
      </c>
      <c r="S51" s="28">
        <v>39.6</v>
      </c>
      <c r="T51" s="19" t="s">
        <v>392</v>
      </c>
      <c r="U51" s="19" t="s">
        <v>393</v>
      </c>
      <c r="V51" s="19" t="s">
        <v>397</v>
      </c>
      <c r="W51" s="28">
        <f t="shared" si="0"/>
        <v>6.5365853658536581</v>
      </c>
      <c r="X51" s="31">
        <f t="shared" si="1"/>
        <v>65600</v>
      </c>
      <c r="Y51" s="31">
        <f t="shared" si="2"/>
        <v>12000</v>
      </c>
      <c r="Z51" s="28">
        <f t="shared" si="3"/>
        <v>316.8</v>
      </c>
      <c r="AA51" s="31">
        <f t="shared" si="4"/>
        <v>169.1919191919192</v>
      </c>
      <c r="AB51" s="19" t="str">
        <f t="shared" si="5"/>
        <v>Fund if budget allows</v>
      </c>
    </row>
    <row r="52" spans="1:28" ht="57">
      <c r="A52" s="19" t="s">
        <v>42</v>
      </c>
      <c r="B52" s="19" t="s">
        <v>43</v>
      </c>
      <c r="C52" s="19" t="s">
        <v>44</v>
      </c>
      <c r="D52" s="19" t="s">
        <v>44</v>
      </c>
      <c r="E52" s="19" t="s">
        <v>471</v>
      </c>
      <c r="F52" s="19" t="s">
        <v>399</v>
      </c>
      <c r="G52" s="19" t="s">
        <v>400</v>
      </c>
      <c r="H52" s="31">
        <v>112800</v>
      </c>
      <c r="I52" s="31">
        <v>11300</v>
      </c>
      <c r="J52" s="31">
        <v>101500</v>
      </c>
      <c r="K52" s="19">
        <v>18412</v>
      </c>
      <c r="L52" s="19">
        <v>4193</v>
      </c>
      <c r="M52" s="19">
        <v>0</v>
      </c>
      <c r="N52" s="31">
        <v>7282</v>
      </c>
      <c r="O52" s="19">
        <v>8</v>
      </c>
      <c r="P52" s="19">
        <v>5</v>
      </c>
      <c r="Q52" s="19">
        <v>4</v>
      </c>
      <c r="R52" s="19" t="s">
        <v>319</v>
      </c>
      <c r="S52" s="28">
        <v>32</v>
      </c>
      <c r="T52" s="19" t="s">
        <v>401</v>
      </c>
      <c r="U52" s="19" t="s">
        <v>393</v>
      </c>
      <c r="V52" s="19" t="s">
        <v>402</v>
      </c>
      <c r="W52" s="28">
        <f t="shared" si="0"/>
        <v>13.938478439989014</v>
      </c>
      <c r="X52" s="31">
        <f t="shared" si="1"/>
        <v>58256</v>
      </c>
      <c r="Y52" s="31">
        <f t="shared" si="2"/>
        <v>-43244</v>
      </c>
      <c r="Z52" s="28">
        <f t="shared" si="3"/>
        <v>256</v>
      </c>
      <c r="AA52" s="31">
        <f t="shared" si="4"/>
        <v>396.484375</v>
      </c>
      <c r="AB52" s="19" t="str">
        <f t="shared" si="5"/>
        <v>Study/defer</v>
      </c>
    </row>
    <row r="53" spans="1:28" ht="57">
      <c r="A53" s="19" t="s">
        <v>42</v>
      </c>
      <c r="B53" s="19" t="s">
        <v>43</v>
      </c>
      <c r="C53" s="19" t="s">
        <v>44</v>
      </c>
      <c r="D53" s="19" t="s">
        <v>44</v>
      </c>
      <c r="E53" s="19" t="s">
        <v>472</v>
      </c>
      <c r="F53" s="19" t="s">
        <v>404</v>
      </c>
      <c r="G53" s="19" t="s">
        <v>405</v>
      </c>
      <c r="H53" s="31">
        <v>65700</v>
      </c>
      <c r="I53" s="31">
        <v>5300</v>
      </c>
      <c r="J53" s="31">
        <v>60400</v>
      </c>
      <c r="K53" s="19">
        <v>0</v>
      </c>
      <c r="L53" s="19">
        <v>1398</v>
      </c>
      <c r="M53" s="19">
        <v>2353806</v>
      </c>
      <c r="N53" s="31">
        <v>18014</v>
      </c>
      <c r="O53" s="19">
        <v>10</v>
      </c>
      <c r="P53" s="19">
        <v>4</v>
      </c>
      <c r="Q53" s="19">
        <v>4</v>
      </c>
      <c r="R53" s="19" t="s">
        <v>335</v>
      </c>
      <c r="S53" s="28">
        <v>7.4</v>
      </c>
      <c r="T53" s="19" t="s">
        <v>406</v>
      </c>
      <c r="U53" s="19" t="s">
        <v>393</v>
      </c>
      <c r="V53" s="19" t="s">
        <v>407</v>
      </c>
      <c r="W53" s="28">
        <f t="shared" si="0"/>
        <v>3.3529477073387364</v>
      </c>
      <c r="X53" s="31">
        <f t="shared" si="1"/>
        <v>180140</v>
      </c>
      <c r="Y53" s="31">
        <f t="shared" si="2"/>
        <v>119740</v>
      </c>
      <c r="Z53" s="28">
        <f t="shared" si="3"/>
        <v>74</v>
      </c>
      <c r="AA53" s="31">
        <f t="shared" si="4"/>
        <v>816.21621621621625</v>
      </c>
      <c r="AB53" s="19" t="str">
        <f t="shared" si="5"/>
        <v>Fund if budget allows</v>
      </c>
    </row>
    <row r="54" spans="1:28" ht="57">
      <c r="A54" s="19" t="s">
        <v>42</v>
      </c>
      <c r="B54" s="19" t="s">
        <v>43</v>
      </c>
      <c r="C54" s="19" t="s">
        <v>44</v>
      </c>
      <c r="D54" s="19" t="s">
        <v>44</v>
      </c>
      <c r="E54" s="19" t="s">
        <v>473</v>
      </c>
      <c r="F54" s="19" t="s">
        <v>409</v>
      </c>
      <c r="G54" s="19" t="s">
        <v>410</v>
      </c>
      <c r="H54" s="31">
        <v>52100</v>
      </c>
      <c r="I54" s="31">
        <v>2600</v>
      </c>
      <c r="J54" s="31">
        <v>49500</v>
      </c>
      <c r="K54" s="19">
        <v>0</v>
      </c>
      <c r="L54" s="19">
        <v>0</v>
      </c>
      <c r="M54" s="19">
        <v>1513161</v>
      </c>
      <c r="N54" s="31">
        <v>10592</v>
      </c>
      <c r="O54" s="19">
        <v>10</v>
      </c>
      <c r="P54" s="19">
        <v>4</v>
      </c>
      <c r="Q54" s="19">
        <v>5</v>
      </c>
      <c r="R54" s="19" t="s">
        <v>319</v>
      </c>
      <c r="S54" s="28">
        <v>0</v>
      </c>
      <c r="T54" s="19" t="s">
        <v>411</v>
      </c>
      <c r="U54" s="19" t="s">
        <v>393</v>
      </c>
      <c r="V54" s="19" t="s">
        <v>412</v>
      </c>
      <c r="W54" s="28">
        <f t="shared" si="0"/>
        <v>4.67333836858006</v>
      </c>
      <c r="X54" s="31">
        <f t="shared" si="1"/>
        <v>105920</v>
      </c>
      <c r="Y54" s="31">
        <f t="shared" si="2"/>
        <v>56420</v>
      </c>
      <c r="Z54" s="28">
        <f t="shared" si="3"/>
        <v>0</v>
      </c>
      <c r="AA54" s="31" t="str">
        <f t="shared" si="4"/>
        <v/>
      </c>
      <c r="AB54" s="19" t="str">
        <f t="shared" si="5"/>
        <v>Fund if budget allows</v>
      </c>
    </row>
    <row r="55" spans="1:28" ht="57">
      <c r="A55" s="19" t="s">
        <v>42</v>
      </c>
      <c r="B55" s="19" t="s">
        <v>43</v>
      </c>
      <c r="C55" s="19" t="s">
        <v>44</v>
      </c>
      <c r="D55" s="19" t="s">
        <v>44</v>
      </c>
      <c r="E55" s="19" t="s">
        <v>474</v>
      </c>
      <c r="F55" s="19" t="s">
        <v>414</v>
      </c>
      <c r="G55" s="19" t="s">
        <v>415</v>
      </c>
      <c r="H55" s="31">
        <v>121900</v>
      </c>
      <c r="I55" s="31">
        <v>12200</v>
      </c>
      <c r="J55" s="31">
        <v>109700</v>
      </c>
      <c r="K55" s="19">
        <v>9206</v>
      </c>
      <c r="L55" s="19">
        <v>6057</v>
      </c>
      <c r="M55" s="19">
        <v>0</v>
      </c>
      <c r="N55" s="31">
        <v>7998</v>
      </c>
      <c r="O55" s="19">
        <v>15</v>
      </c>
      <c r="P55" s="19">
        <v>5</v>
      </c>
      <c r="Q55" s="19">
        <v>4</v>
      </c>
      <c r="R55" s="19" t="s">
        <v>319</v>
      </c>
      <c r="S55" s="28">
        <v>37</v>
      </c>
      <c r="T55" s="19" t="s">
        <v>416</v>
      </c>
      <c r="U55" s="19" t="s">
        <v>393</v>
      </c>
      <c r="V55" s="19" t="s">
        <v>417</v>
      </c>
      <c r="W55" s="28">
        <f t="shared" si="0"/>
        <v>13.715928982245561</v>
      </c>
      <c r="X55" s="31">
        <f t="shared" si="1"/>
        <v>119970</v>
      </c>
      <c r="Y55" s="31">
        <f t="shared" si="2"/>
        <v>10270</v>
      </c>
      <c r="Z55" s="28">
        <f t="shared" si="3"/>
        <v>555</v>
      </c>
      <c r="AA55" s="31">
        <f t="shared" si="4"/>
        <v>197.65765765765767</v>
      </c>
      <c r="AB55" s="19" t="str">
        <f t="shared" si="5"/>
        <v>Study/defer</v>
      </c>
    </row>
    <row r="56" spans="1:28" ht="71.25">
      <c r="A56" s="19" t="s">
        <v>42</v>
      </c>
      <c r="B56" s="19" t="s">
        <v>43</v>
      </c>
      <c r="C56" s="19" t="s">
        <v>44</v>
      </c>
      <c r="D56" s="19" t="s">
        <v>44</v>
      </c>
      <c r="E56" s="19" t="s">
        <v>475</v>
      </c>
      <c r="F56" s="19" t="s">
        <v>419</v>
      </c>
      <c r="G56" s="19" t="s">
        <v>420</v>
      </c>
      <c r="H56" s="31">
        <v>228200</v>
      </c>
      <c r="I56" s="31">
        <v>27400</v>
      </c>
      <c r="J56" s="31">
        <v>200800</v>
      </c>
      <c r="K56" s="19">
        <v>-53703</v>
      </c>
      <c r="L56" s="19">
        <v>9318</v>
      </c>
      <c r="M56" s="19">
        <v>0</v>
      </c>
      <c r="N56" s="31">
        <v>2463</v>
      </c>
      <c r="O56" s="19">
        <v>12</v>
      </c>
      <c r="P56" s="19">
        <v>3</v>
      </c>
      <c r="Q56" s="19">
        <v>3</v>
      </c>
      <c r="R56" s="19" t="s">
        <v>322</v>
      </c>
      <c r="S56" s="28">
        <v>21.1</v>
      </c>
      <c r="T56" s="19" t="s">
        <v>421</v>
      </c>
      <c r="U56" s="19" t="s">
        <v>393</v>
      </c>
      <c r="V56" s="19" t="s">
        <v>422</v>
      </c>
      <c r="W56" s="28">
        <f t="shared" si="0"/>
        <v>81.526593585058876</v>
      </c>
      <c r="X56" s="31">
        <f t="shared" si="1"/>
        <v>29556</v>
      </c>
      <c r="Y56" s="31">
        <f t="shared" si="2"/>
        <v>-171244</v>
      </c>
      <c r="Z56" s="28">
        <f t="shared" si="3"/>
        <v>253.20000000000002</v>
      </c>
      <c r="AA56" s="31">
        <f t="shared" si="4"/>
        <v>793.04897314375978</v>
      </c>
      <c r="AB56" s="19" t="str">
        <f t="shared" si="5"/>
        <v>Study/defer</v>
      </c>
    </row>
    <row r="57" spans="1:28" ht="85.5">
      <c r="A57" s="19" t="s">
        <v>42</v>
      </c>
      <c r="B57" s="19" t="s">
        <v>43</v>
      </c>
      <c r="C57" s="19" t="s">
        <v>44</v>
      </c>
      <c r="D57" s="19" t="s">
        <v>44</v>
      </c>
      <c r="E57" s="19" t="s">
        <v>476</v>
      </c>
      <c r="F57" s="19" t="s">
        <v>424</v>
      </c>
      <c r="G57" s="19" t="s">
        <v>425</v>
      </c>
      <c r="H57" s="31">
        <v>201700</v>
      </c>
      <c r="I57" s="31">
        <v>25000</v>
      </c>
      <c r="J57" s="31">
        <v>176700</v>
      </c>
      <c r="K57" s="19">
        <v>184124</v>
      </c>
      <c r="L57" s="19">
        <v>0</v>
      </c>
      <c r="M57" s="19">
        <v>0</v>
      </c>
      <c r="N57" s="31">
        <v>26698</v>
      </c>
      <c r="O57" s="19">
        <v>20</v>
      </c>
      <c r="P57" s="19">
        <v>2</v>
      </c>
      <c r="Q57" s="19">
        <v>4</v>
      </c>
      <c r="R57" s="19" t="s">
        <v>322</v>
      </c>
      <c r="S57" s="28">
        <v>97.2</v>
      </c>
      <c r="T57" s="19" t="s">
        <v>426</v>
      </c>
      <c r="U57" s="19" t="s">
        <v>393</v>
      </c>
      <c r="V57" s="19" t="s">
        <v>427</v>
      </c>
      <c r="W57" s="28">
        <f t="shared" si="0"/>
        <v>6.6184732938796911</v>
      </c>
      <c r="X57" s="31">
        <f t="shared" si="1"/>
        <v>533960</v>
      </c>
      <c r="Y57" s="31">
        <f t="shared" si="2"/>
        <v>357260</v>
      </c>
      <c r="Z57" s="28">
        <f t="shared" si="3"/>
        <v>1944</v>
      </c>
      <c r="AA57" s="31">
        <f t="shared" si="4"/>
        <v>90.895061728395063</v>
      </c>
      <c r="AB57" s="19" t="str">
        <f t="shared" si="5"/>
        <v>Fund if budget allows</v>
      </c>
    </row>
    <row r="58" spans="1:28" ht="99.75">
      <c r="A58" s="19" t="s">
        <v>42</v>
      </c>
      <c r="B58" s="19" t="s">
        <v>43</v>
      </c>
      <c r="C58" s="19" t="s">
        <v>44</v>
      </c>
      <c r="D58" s="19" t="s">
        <v>44</v>
      </c>
      <c r="E58" s="19" t="s">
        <v>477</v>
      </c>
      <c r="F58" s="19" t="s">
        <v>429</v>
      </c>
      <c r="G58" s="19" t="s">
        <v>430</v>
      </c>
      <c r="H58" s="31">
        <v>15200</v>
      </c>
      <c r="I58" s="31">
        <v>0</v>
      </c>
      <c r="J58" s="31">
        <v>15200</v>
      </c>
      <c r="K58" s="19">
        <v>0</v>
      </c>
      <c r="L58" s="19">
        <v>0</v>
      </c>
      <c r="M58" s="19">
        <v>0</v>
      </c>
      <c r="N58" s="31">
        <v>3780</v>
      </c>
      <c r="O58" s="19">
        <v>3</v>
      </c>
      <c r="P58" s="19">
        <v>3</v>
      </c>
      <c r="Q58" s="19">
        <v>3</v>
      </c>
      <c r="R58" s="19" t="s">
        <v>335</v>
      </c>
      <c r="S58" s="28">
        <v>0</v>
      </c>
      <c r="T58" s="19" t="s">
        <v>431</v>
      </c>
      <c r="U58" s="19" t="s">
        <v>393</v>
      </c>
      <c r="V58" s="19" t="s">
        <v>432</v>
      </c>
      <c r="W58" s="28">
        <f t="shared" si="0"/>
        <v>4.0211640211640214</v>
      </c>
      <c r="X58" s="31">
        <f t="shared" si="1"/>
        <v>11340</v>
      </c>
      <c r="Y58" s="31">
        <f t="shared" si="2"/>
        <v>-3860</v>
      </c>
      <c r="Z58" s="28">
        <f t="shared" si="3"/>
        <v>0</v>
      </c>
      <c r="AA58" s="31" t="str">
        <f t="shared" si="4"/>
        <v/>
      </c>
      <c r="AB58" s="19" t="str">
        <f t="shared" si="5"/>
        <v>Fund if budget allows</v>
      </c>
    </row>
    <row r="59" spans="1:28" ht="71.25">
      <c r="A59" s="19" t="s">
        <v>45</v>
      </c>
      <c r="B59" s="19" t="s">
        <v>46</v>
      </c>
      <c r="C59" s="19" t="s">
        <v>47</v>
      </c>
      <c r="D59" s="19" t="s">
        <v>48</v>
      </c>
      <c r="E59" s="19" t="s">
        <v>478</v>
      </c>
      <c r="F59" s="19" t="s">
        <v>390</v>
      </c>
      <c r="G59" s="19" t="s">
        <v>391</v>
      </c>
      <c r="H59" s="31">
        <v>60200</v>
      </c>
      <c r="I59" s="31">
        <v>7200</v>
      </c>
      <c r="J59" s="31">
        <v>53000</v>
      </c>
      <c r="K59" s="19">
        <v>31778</v>
      </c>
      <c r="L59" s="19">
        <v>0</v>
      </c>
      <c r="M59" s="19">
        <v>0</v>
      </c>
      <c r="N59" s="31">
        <v>4608</v>
      </c>
      <c r="O59" s="19">
        <v>10</v>
      </c>
      <c r="P59" s="19">
        <v>2</v>
      </c>
      <c r="Q59" s="19">
        <v>5</v>
      </c>
      <c r="R59" s="19" t="s">
        <v>335</v>
      </c>
      <c r="S59" s="28">
        <v>16.8</v>
      </c>
      <c r="T59" s="19" t="s">
        <v>392</v>
      </c>
      <c r="U59" s="19" t="s">
        <v>393</v>
      </c>
      <c r="V59" s="19" t="s">
        <v>394</v>
      </c>
      <c r="W59" s="28">
        <f t="shared" si="0"/>
        <v>11.501736111111111</v>
      </c>
      <c r="X59" s="31">
        <f t="shared" si="1"/>
        <v>46080</v>
      </c>
      <c r="Y59" s="31">
        <f t="shared" si="2"/>
        <v>-6920</v>
      </c>
      <c r="Z59" s="28">
        <f t="shared" si="3"/>
        <v>168</v>
      </c>
      <c r="AA59" s="31">
        <f t="shared" si="4"/>
        <v>315.47619047619048</v>
      </c>
      <c r="AB59" s="19" t="str">
        <f t="shared" si="5"/>
        <v>Study/defer</v>
      </c>
    </row>
    <row r="60" spans="1:28" ht="71.25">
      <c r="A60" s="19" t="s">
        <v>45</v>
      </c>
      <c r="B60" s="19" t="s">
        <v>46</v>
      </c>
      <c r="C60" s="19" t="s">
        <v>47</v>
      </c>
      <c r="D60" s="19" t="s">
        <v>48</v>
      </c>
      <c r="E60" s="19" t="s">
        <v>479</v>
      </c>
      <c r="F60" s="19" t="s">
        <v>396</v>
      </c>
      <c r="G60" s="19" t="s">
        <v>391</v>
      </c>
      <c r="H60" s="31">
        <v>42100</v>
      </c>
      <c r="I60" s="31">
        <v>4200</v>
      </c>
      <c r="J60" s="31">
        <v>37900</v>
      </c>
      <c r="K60" s="19">
        <v>0</v>
      </c>
      <c r="L60" s="19">
        <v>3116</v>
      </c>
      <c r="M60" s="19">
        <v>0</v>
      </c>
      <c r="N60" s="31">
        <v>3428</v>
      </c>
      <c r="O60" s="19">
        <v>8</v>
      </c>
      <c r="P60" s="19">
        <v>3</v>
      </c>
      <c r="Q60" s="19">
        <v>5</v>
      </c>
      <c r="R60" s="19" t="s">
        <v>319</v>
      </c>
      <c r="S60" s="28">
        <v>16.600000000000001</v>
      </c>
      <c r="T60" s="19" t="s">
        <v>392</v>
      </c>
      <c r="U60" s="19" t="s">
        <v>393</v>
      </c>
      <c r="V60" s="19" t="s">
        <v>397</v>
      </c>
      <c r="W60" s="28">
        <f t="shared" si="0"/>
        <v>11.056009334889149</v>
      </c>
      <c r="X60" s="31">
        <f t="shared" si="1"/>
        <v>27424</v>
      </c>
      <c r="Y60" s="31">
        <f t="shared" si="2"/>
        <v>-10476</v>
      </c>
      <c r="Z60" s="28">
        <f t="shared" si="3"/>
        <v>132.80000000000001</v>
      </c>
      <c r="AA60" s="31">
        <f t="shared" si="4"/>
        <v>285.39156626506019</v>
      </c>
      <c r="AB60" s="19" t="str">
        <f t="shared" si="5"/>
        <v>Study/defer</v>
      </c>
    </row>
    <row r="61" spans="1:28" ht="57">
      <c r="A61" s="19" t="s">
        <v>45</v>
      </c>
      <c r="B61" s="19" t="s">
        <v>46</v>
      </c>
      <c r="C61" s="19" t="s">
        <v>47</v>
      </c>
      <c r="D61" s="19" t="s">
        <v>48</v>
      </c>
      <c r="E61" s="19" t="s">
        <v>480</v>
      </c>
      <c r="F61" s="19" t="s">
        <v>399</v>
      </c>
      <c r="G61" s="19" t="s">
        <v>400</v>
      </c>
      <c r="H61" s="31">
        <v>63900</v>
      </c>
      <c r="I61" s="31">
        <v>6400</v>
      </c>
      <c r="J61" s="31">
        <v>57500</v>
      </c>
      <c r="K61" s="19">
        <v>10895</v>
      </c>
      <c r="L61" s="19">
        <v>1753</v>
      </c>
      <c r="M61" s="19">
        <v>0</v>
      </c>
      <c r="N61" s="31">
        <v>3508</v>
      </c>
      <c r="O61" s="19">
        <v>8</v>
      </c>
      <c r="P61" s="19">
        <v>5</v>
      </c>
      <c r="Q61" s="19">
        <v>4</v>
      </c>
      <c r="R61" s="19" t="s">
        <v>319</v>
      </c>
      <c r="S61" s="28">
        <v>15.1</v>
      </c>
      <c r="T61" s="19" t="s">
        <v>401</v>
      </c>
      <c r="U61" s="19" t="s">
        <v>393</v>
      </c>
      <c r="V61" s="19" t="s">
        <v>402</v>
      </c>
      <c r="W61" s="28">
        <f t="shared" si="0"/>
        <v>16.391106043329533</v>
      </c>
      <c r="X61" s="31">
        <f t="shared" si="1"/>
        <v>28064</v>
      </c>
      <c r="Y61" s="31">
        <f t="shared" si="2"/>
        <v>-29436</v>
      </c>
      <c r="Z61" s="28">
        <f t="shared" si="3"/>
        <v>120.8</v>
      </c>
      <c r="AA61" s="31">
        <f t="shared" si="4"/>
        <v>475.99337748344374</v>
      </c>
      <c r="AB61" s="19" t="str">
        <f t="shared" si="5"/>
        <v>Study/defer</v>
      </c>
    </row>
    <row r="62" spans="1:28" ht="57">
      <c r="A62" s="19" t="s">
        <v>45</v>
      </c>
      <c r="B62" s="19" t="s">
        <v>46</v>
      </c>
      <c r="C62" s="19" t="s">
        <v>47</v>
      </c>
      <c r="D62" s="19" t="s">
        <v>48</v>
      </c>
      <c r="E62" s="19" t="s">
        <v>481</v>
      </c>
      <c r="F62" s="19" t="s">
        <v>404</v>
      </c>
      <c r="G62" s="19" t="s">
        <v>405</v>
      </c>
      <c r="H62" s="31">
        <v>42500</v>
      </c>
      <c r="I62" s="31">
        <v>3400</v>
      </c>
      <c r="J62" s="31">
        <v>39100</v>
      </c>
      <c r="K62" s="19">
        <v>0</v>
      </c>
      <c r="L62" s="19">
        <v>584</v>
      </c>
      <c r="M62" s="19">
        <v>1076698</v>
      </c>
      <c r="N62" s="31">
        <v>8179</v>
      </c>
      <c r="O62" s="19">
        <v>10</v>
      </c>
      <c r="P62" s="19">
        <v>4</v>
      </c>
      <c r="Q62" s="19">
        <v>4</v>
      </c>
      <c r="R62" s="19" t="s">
        <v>335</v>
      </c>
      <c r="S62" s="28">
        <v>3.1</v>
      </c>
      <c r="T62" s="19" t="s">
        <v>406</v>
      </c>
      <c r="U62" s="19" t="s">
        <v>393</v>
      </c>
      <c r="V62" s="19" t="s">
        <v>407</v>
      </c>
      <c r="W62" s="28">
        <f t="shared" si="0"/>
        <v>4.7805355177894606</v>
      </c>
      <c r="X62" s="31">
        <f t="shared" si="1"/>
        <v>81790</v>
      </c>
      <c r="Y62" s="31">
        <f t="shared" si="2"/>
        <v>42690</v>
      </c>
      <c r="Z62" s="28">
        <f t="shared" si="3"/>
        <v>31</v>
      </c>
      <c r="AA62" s="31">
        <f t="shared" si="4"/>
        <v>1261.2903225806451</v>
      </c>
      <c r="AB62" s="19" t="str">
        <f t="shared" si="5"/>
        <v>Fund if budget allows</v>
      </c>
    </row>
    <row r="63" spans="1:28" ht="57">
      <c r="A63" s="19" t="s">
        <v>45</v>
      </c>
      <c r="B63" s="19" t="s">
        <v>46</v>
      </c>
      <c r="C63" s="19" t="s">
        <v>47</v>
      </c>
      <c r="D63" s="19" t="s">
        <v>48</v>
      </c>
      <c r="E63" s="19" t="s">
        <v>482</v>
      </c>
      <c r="F63" s="19" t="s">
        <v>409</v>
      </c>
      <c r="G63" s="19" t="s">
        <v>410</v>
      </c>
      <c r="H63" s="31">
        <v>36000</v>
      </c>
      <c r="I63" s="31">
        <v>1800</v>
      </c>
      <c r="J63" s="31">
        <v>34200</v>
      </c>
      <c r="K63" s="19">
        <v>0</v>
      </c>
      <c r="L63" s="19">
        <v>0</v>
      </c>
      <c r="M63" s="19">
        <v>692163</v>
      </c>
      <c r="N63" s="31">
        <v>4845</v>
      </c>
      <c r="O63" s="19">
        <v>10</v>
      </c>
      <c r="P63" s="19">
        <v>4</v>
      </c>
      <c r="Q63" s="19">
        <v>5</v>
      </c>
      <c r="R63" s="19" t="s">
        <v>319</v>
      </c>
      <c r="S63" s="28">
        <v>0</v>
      </c>
      <c r="T63" s="19" t="s">
        <v>411</v>
      </c>
      <c r="U63" s="19" t="s">
        <v>393</v>
      </c>
      <c r="V63" s="19" t="s">
        <v>412</v>
      </c>
      <c r="W63" s="28">
        <f t="shared" si="0"/>
        <v>7.0588235294117645</v>
      </c>
      <c r="X63" s="31">
        <f t="shared" si="1"/>
        <v>48450</v>
      </c>
      <c r="Y63" s="31">
        <f t="shared" si="2"/>
        <v>14250</v>
      </c>
      <c r="Z63" s="28">
        <f t="shared" si="3"/>
        <v>0</v>
      </c>
      <c r="AA63" s="31" t="str">
        <f t="shared" si="4"/>
        <v/>
      </c>
      <c r="AB63" s="19" t="str">
        <f t="shared" si="5"/>
        <v>Study/defer</v>
      </c>
    </row>
    <row r="64" spans="1:28" ht="57">
      <c r="A64" s="19" t="s">
        <v>45</v>
      </c>
      <c r="B64" s="19" t="s">
        <v>46</v>
      </c>
      <c r="C64" s="19" t="s">
        <v>47</v>
      </c>
      <c r="D64" s="19" t="s">
        <v>48</v>
      </c>
      <c r="E64" s="19" t="s">
        <v>483</v>
      </c>
      <c r="F64" s="19" t="s">
        <v>414</v>
      </c>
      <c r="G64" s="19" t="s">
        <v>415</v>
      </c>
      <c r="H64" s="31">
        <v>81700</v>
      </c>
      <c r="I64" s="31">
        <v>8200</v>
      </c>
      <c r="J64" s="31">
        <v>73500</v>
      </c>
      <c r="K64" s="19">
        <v>5448</v>
      </c>
      <c r="L64" s="19">
        <v>2532</v>
      </c>
      <c r="M64" s="19">
        <v>0</v>
      </c>
      <c r="N64" s="31">
        <v>3575</v>
      </c>
      <c r="O64" s="19">
        <v>15</v>
      </c>
      <c r="P64" s="19">
        <v>5</v>
      </c>
      <c r="Q64" s="19">
        <v>4</v>
      </c>
      <c r="R64" s="19" t="s">
        <v>319</v>
      </c>
      <c r="S64" s="28">
        <v>16.3</v>
      </c>
      <c r="T64" s="19" t="s">
        <v>416</v>
      </c>
      <c r="U64" s="19" t="s">
        <v>393</v>
      </c>
      <c r="V64" s="19" t="s">
        <v>417</v>
      </c>
      <c r="W64" s="28">
        <f t="shared" si="0"/>
        <v>20.55944055944056</v>
      </c>
      <c r="X64" s="31">
        <f t="shared" si="1"/>
        <v>53625</v>
      </c>
      <c r="Y64" s="31">
        <f t="shared" si="2"/>
        <v>-19875</v>
      </c>
      <c r="Z64" s="28">
        <f t="shared" si="3"/>
        <v>244.5</v>
      </c>
      <c r="AA64" s="31">
        <f t="shared" si="4"/>
        <v>300.61349693251532</v>
      </c>
      <c r="AB64" s="19" t="str">
        <f t="shared" si="5"/>
        <v>Study/defer</v>
      </c>
    </row>
    <row r="65" spans="1:28" ht="71.25">
      <c r="A65" s="19" t="s">
        <v>45</v>
      </c>
      <c r="B65" s="19" t="s">
        <v>46</v>
      </c>
      <c r="C65" s="19" t="s">
        <v>47</v>
      </c>
      <c r="D65" s="19" t="s">
        <v>48</v>
      </c>
      <c r="E65" s="19" t="s">
        <v>484</v>
      </c>
      <c r="F65" s="19" t="s">
        <v>419</v>
      </c>
      <c r="G65" s="19" t="s">
        <v>420</v>
      </c>
      <c r="H65" s="31">
        <v>154400</v>
      </c>
      <c r="I65" s="31">
        <v>18500</v>
      </c>
      <c r="J65" s="31">
        <v>135900</v>
      </c>
      <c r="K65" s="19">
        <v>-31778</v>
      </c>
      <c r="L65" s="19">
        <v>3895</v>
      </c>
      <c r="M65" s="19">
        <v>0</v>
      </c>
      <c r="N65" s="31">
        <v>-323</v>
      </c>
      <c r="O65" s="19">
        <v>12</v>
      </c>
      <c r="P65" s="19">
        <v>3</v>
      </c>
      <c r="Q65" s="19">
        <v>3</v>
      </c>
      <c r="R65" s="19" t="s">
        <v>322</v>
      </c>
      <c r="S65" s="28">
        <v>3.9</v>
      </c>
      <c r="T65" s="19" t="s">
        <v>421</v>
      </c>
      <c r="U65" s="19" t="s">
        <v>393</v>
      </c>
      <c r="V65" s="19" t="s">
        <v>422</v>
      </c>
      <c r="W65" s="28">
        <f t="shared" si="0"/>
        <v>-420.74303405572755</v>
      </c>
      <c r="X65" s="31">
        <f t="shared" si="1"/>
        <v>-3876</v>
      </c>
      <c r="Y65" s="31">
        <f t="shared" si="2"/>
        <v>-139776</v>
      </c>
      <c r="Z65" s="28">
        <f t="shared" si="3"/>
        <v>46.8</v>
      </c>
      <c r="AA65" s="31">
        <f t="shared" si="4"/>
        <v>2903.8461538461538</v>
      </c>
      <c r="AB65" s="19" t="str">
        <f t="shared" si="5"/>
        <v>Fund if budget allows</v>
      </c>
    </row>
    <row r="66" spans="1:28" ht="85.5">
      <c r="A66" s="19" t="s">
        <v>45</v>
      </c>
      <c r="B66" s="19" t="s">
        <v>46</v>
      </c>
      <c r="C66" s="19" t="s">
        <v>47</v>
      </c>
      <c r="D66" s="19" t="s">
        <v>48</v>
      </c>
      <c r="E66" s="19" t="s">
        <v>485</v>
      </c>
      <c r="F66" s="19" t="s">
        <v>424</v>
      </c>
      <c r="G66" s="19" t="s">
        <v>425</v>
      </c>
      <c r="H66" s="31">
        <v>138400</v>
      </c>
      <c r="I66" s="31">
        <v>24900</v>
      </c>
      <c r="J66" s="31">
        <v>113500</v>
      </c>
      <c r="K66" s="19">
        <v>108953</v>
      </c>
      <c r="L66" s="19">
        <v>0</v>
      </c>
      <c r="M66" s="19">
        <v>0</v>
      </c>
      <c r="N66" s="31">
        <v>15798</v>
      </c>
      <c r="O66" s="19">
        <v>20</v>
      </c>
      <c r="P66" s="19">
        <v>2</v>
      </c>
      <c r="Q66" s="19">
        <v>4</v>
      </c>
      <c r="R66" s="19" t="s">
        <v>322</v>
      </c>
      <c r="S66" s="28">
        <v>57.5</v>
      </c>
      <c r="T66" s="19" t="s">
        <v>426</v>
      </c>
      <c r="U66" s="19" t="s">
        <v>393</v>
      </c>
      <c r="V66" s="19" t="s">
        <v>427</v>
      </c>
      <c r="W66" s="28">
        <f t="shared" si="0"/>
        <v>7.1844537283200403</v>
      </c>
      <c r="X66" s="31">
        <f t="shared" si="1"/>
        <v>315960</v>
      </c>
      <c r="Y66" s="31">
        <f t="shared" si="2"/>
        <v>202460</v>
      </c>
      <c r="Z66" s="28">
        <f t="shared" si="3"/>
        <v>1150</v>
      </c>
      <c r="AA66" s="31">
        <f t="shared" si="4"/>
        <v>98.695652173913047</v>
      </c>
      <c r="AB66" s="19" t="str">
        <f t="shared" si="5"/>
        <v>Study/defer</v>
      </c>
    </row>
    <row r="67" spans="1:28" ht="99.75">
      <c r="A67" s="19" t="s">
        <v>45</v>
      </c>
      <c r="B67" s="19" t="s">
        <v>46</v>
      </c>
      <c r="C67" s="19" t="s">
        <v>47</v>
      </c>
      <c r="D67" s="19" t="s">
        <v>48</v>
      </c>
      <c r="E67" s="19" t="s">
        <v>486</v>
      </c>
      <c r="F67" s="19" t="s">
        <v>429</v>
      </c>
      <c r="G67" s="19" t="s">
        <v>430</v>
      </c>
      <c r="H67" s="31">
        <v>11200</v>
      </c>
      <c r="I67" s="31">
        <v>0</v>
      </c>
      <c r="J67" s="31">
        <v>11200</v>
      </c>
      <c r="K67" s="19">
        <v>0</v>
      </c>
      <c r="L67" s="19">
        <v>0</v>
      </c>
      <c r="M67" s="19">
        <v>0</v>
      </c>
      <c r="N67" s="31">
        <v>2700</v>
      </c>
      <c r="O67" s="19">
        <v>3</v>
      </c>
      <c r="P67" s="19">
        <v>3</v>
      </c>
      <c r="Q67" s="19">
        <v>3</v>
      </c>
      <c r="R67" s="19" t="s">
        <v>335</v>
      </c>
      <c r="S67" s="28">
        <v>0</v>
      </c>
      <c r="T67" s="19" t="s">
        <v>431</v>
      </c>
      <c r="U67" s="19" t="s">
        <v>393</v>
      </c>
      <c r="V67" s="19" t="s">
        <v>432</v>
      </c>
      <c r="W67" s="28">
        <f t="shared" si="0"/>
        <v>4.1481481481481479</v>
      </c>
      <c r="X67" s="31">
        <f t="shared" si="1"/>
        <v>8100</v>
      </c>
      <c r="Y67" s="31">
        <f t="shared" si="2"/>
        <v>-3100</v>
      </c>
      <c r="Z67" s="28">
        <f t="shared" si="3"/>
        <v>0</v>
      </c>
      <c r="AA67" s="31" t="str">
        <f t="shared" si="4"/>
        <v/>
      </c>
      <c r="AB67" s="19" t="str">
        <f t="shared" si="5"/>
        <v>Fund if budget allows</v>
      </c>
    </row>
    <row r="68" spans="1:28" ht="71.25">
      <c r="A68" s="19" t="s">
        <v>49</v>
      </c>
      <c r="B68" s="19" t="s">
        <v>50</v>
      </c>
      <c r="C68" s="19" t="s">
        <v>51</v>
      </c>
      <c r="D68" s="19" t="s">
        <v>51</v>
      </c>
      <c r="E68" s="19" t="s">
        <v>487</v>
      </c>
      <c r="F68" s="19" t="s">
        <v>390</v>
      </c>
      <c r="G68" s="19" t="s">
        <v>391</v>
      </c>
      <c r="H68" s="31">
        <v>54200</v>
      </c>
      <c r="I68" s="31">
        <v>6500</v>
      </c>
      <c r="J68" s="31">
        <v>47700</v>
      </c>
      <c r="K68" s="19">
        <v>29262</v>
      </c>
      <c r="L68" s="19">
        <v>0</v>
      </c>
      <c r="M68" s="19">
        <v>0</v>
      </c>
      <c r="N68" s="31">
        <v>4243</v>
      </c>
      <c r="O68" s="19">
        <v>10</v>
      </c>
      <c r="P68" s="19">
        <v>2</v>
      </c>
      <c r="Q68" s="19">
        <v>5</v>
      </c>
      <c r="R68" s="19" t="s">
        <v>335</v>
      </c>
      <c r="S68" s="28">
        <v>15.4</v>
      </c>
      <c r="T68" s="19" t="s">
        <v>392</v>
      </c>
      <c r="U68" s="19" t="s">
        <v>393</v>
      </c>
      <c r="V68" s="19" t="s">
        <v>394</v>
      </c>
      <c r="W68" s="28">
        <f t="shared" si="0"/>
        <v>11.24204572236625</v>
      </c>
      <c r="X68" s="31">
        <f t="shared" si="1"/>
        <v>42430</v>
      </c>
      <c r="Y68" s="31">
        <f t="shared" si="2"/>
        <v>-5270</v>
      </c>
      <c r="Z68" s="28">
        <f t="shared" si="3"/>
        <v>154</v>
      </c>
      <c r="AA68" s="31">
        <f t="shared" si="4"/>
        <v>309.74025974025972</v>
      </c>
      <c r="AB68" s="19" t="str">
        <f t="shared" si="5"/>
        <v>Study/defer</v>
      </c>
    </row>
    <row r="69" spans="1:28" ht="71.25">
      <c r="A69" s="19" t="s">
        <v>49</v>
      </c>
      <c r="B69" s="19" t="s">
        <v>50</v>
      </c>
      <c r="C69" s="19" t="s">
        <v>51</v>
      </c>
      <c r="D69" s="19" t="s">
        <v>51</v>
      </c>
      <c r="E69" s="19" t="s">
        <v>488</v>
      </c>
      <c r="F69" s="19" t="s">
        <v>396</v>
      </c>
      <c r="G69" s="19" t="s">
        <v>391</v>
      </c>
      <c r="H69" s="31">
        <v>34000</v>
      </c>
      <c r="I69" s="31">
        <v>3400</v>
      </c>
      <c r="J69" s="31">
        <v>30600</v>
      </c>
      <c r="K69" s="19">
        <v>0</v>
      </c>
      <c r="L69" s="19">
        <v>3135</v>
      </c>
      <c r="M69" s="19">
        <v>0</v>
      </c>
      <c r="N69" s="31">
        <v>3449</v>
      </c>
      <c r="O69" s="19">
        <v>8</v>
      </c>
      <c r="P69" s="19">
        <v>3</v>
      </c>
      <c r="Q69" s="19">
        <v>5</v>
      </c>
      <c r="R69" s="19" t="s">
        <v>319</v>
      </c>
      <c r="S69" s="28">
        <v>16.7</v>
      </c>
      <c r="T69" s="19" t="s">
        <v>392</v>
      </c>
      <c r="U69" s="19" t="s">
        <v>393</v>
      </c>
      <c r="V69" s="19" t="s">
        <v>397</v>
      </c>
      <c r="W69" s="28">
        <f t="shared" ref="W69:W94" si="6">IFERROR(J69/N69,"")</f>
        <v>8.8721368512612351</v>
      </c>
      <c r="X69" s="31">
        <f t="shared" ref="X69:X94" si="7">N69*O69</f>
        <v>27592</v>
      </c>
      <c r="Y69" s="31">
        <f t="shared" ref="Y69:Y94" si="8">(N69*O69)-J69</f>
        <v>-3008</v>
      </c>
      <c r="Z69" s="28">
        <f t="shared" ref="Z69:Z94" si="9">S69*O69</f>
        <v>133.6</v>
      </c>
      <c r="AA69" s="31">
        <f t="shared" ref="AA69:AA94" si="10">IFERROR(J69/(S69*O69),"")</f>
        <v>229.04191616766468</v>
      </c>
      <c r="AB69" s="19" t="str">
        <f t="shared" ref="AB69:AB94" si="11">IF(AND(IFERROR(J69/N69,99)&lt;=4, S69&gt;20),"Fund now",IF(IFERROR(J69/N69,99)&lt;=7,"Fund if budget allows","Study/defer"))</f>
        <v>Study/defer</v>
      </c>
    </row>
    <row r="70" spans="1:28" ht="57">
      <c r="A70" s="19" t="s">
        <v>49</v>
      </c>
      <c r="B70" s="19" t="s">
        <v>50</v>
      </c>
      <c r="C70" s="19" t="s">
        <v>51</v>
      </c>
      <c r="D70" s="19" t="s">
        <v>51</v>
      </c>
      <c r="E70" s="19" t="s">
        <v>489</v>
      </c>
      <c r="F70" s="19" t="s">
        <v>399</v>
      </c>
      <c r="G70" s="19" t="s">
        <v>400</v>
      </c>
      <c r="H70" s="31">
        <v>56500</v>
      </c>
      <c r="I70" s="31">
        <v>5600</v>
      </c>
      <c r="J70" s="31">
        <v>50900</v>
      </c>
      <c r="K70" s="19">
        <v>10033</v>
      </c>
      <c r="L70" s="19">
        <v>1763</v>
      </c>
      <c r="M70" s="19">
        <v>0</v>
      </c>
      <c r="N70" s="31">
        <v>3394</v>
      </c>
      <c r="O70" s="19">
        <v>8</v>
      </c>
      <c r="P70" s="19">
        <v>5</v>
      </c>
      <c r="Q70" s="19">
        <v>4</v>
      </c>
      <c r="R70" s="19" t="s">
        <v>319</v>
      </c>
      <c r="S70" s="28">
        <v>14.7</v>
      </c>
      <c r="T70" s="19" t="s">
        <v>401</v>
      </c>
      <c r="U70" s="19" t="s">
        <v>393</v>
      </c>
      <c r="V70" s="19" t="s">
        <v>402</v>
      </c>
      <c r="W70" s="28">
        <f t="shared" si="6"/>
        <v>14.997053624042428</v>
      </c>
      <c r="X70" s="31">
        <f t="shared" si="7"/>
        <v>27152</v>
      </c>
      <c r="Y70" s="31">
        <f t="shared" si="8"/>
        <v>-23748</v>
      </c>
      <c r="Z70" s="28">
        <f t="shared" si="9"/>
        <v>117.6</v>
      </c>
      <c r="AA70" s="31">
        <f t="shared" si="10"/>
        <v>432.82312925170072</v>
      </c>
      <c r="AB70" s="19" t="str">
        <f t="shared" si="11"/>
        <v>Study/defer</v>
      </c>
    </row>
    <row r="71" spans="1:28" ht="57">
      <c r="A71" s="19" t="s">
        <v>49</v>
      </c>
      <c r="B71" s="19" t="s">
        <v>50</v>
      </c>
      <c r="C71" s="19" t="s">
        <v>51</v>
      </c>
      <c r="D71" s="19" t="s">
        <v>51</v>
      </c>
      <c r="E71" s="19" t="s">
        <v>490</v>
      </c>
      <c r="F71" s="19" t="s">
        <v>404</v>
      </c>
      <c r="G71" s="19" t="s">
        <v>405</v>
      </c>
      <c r="H71" s="31">
        <v>37600</v>
      </c>
      <c r="I71" s="31">
        <v>3000</v>
      </c>
      <c r="J71" s="31">
        <v>34600</v>
      </c>
      <c r="K71" s="19">
        <v>0</v>
      </c>
      <c r="L71" s="19">
        <v>588</v>
      </c>
      <c r="M71" s="19">
        <v>963082</v>
      </c>
      <c r="N71" s="31">
        <v>7388</v>
      </c>
      <c r="O71" s="19">
        <v>10</v>
      </c>
      <c r="P71" s="19">
        <v>4</v>
      </c>
      <c r="Q71" s="19">
        <v>4</v>
      </c>
      <c r="R71" s="19" t="s">
        <v>335</v>
      </c>
      <c r="S71" s="28">
        <v>3.1</v>
      </c>
      <c r="T71" s="19" t="s">
        <v>406</v>
      </c>
      <c r="U71" s="19" t="s">
        <v>393</v>
      </c>
      <c r="V71" s="19" t="s">
        <v>407</v>
      </c>
      <c r="W71" s="28">
        <f t="shared" si="6"/>
        <v>4.6832701678397397</v>
      </c>
      <c r="X71" s="31">
        <f t="shared" si="7"/>
        <v>73880</v>
      </c>
      <c r="Y71" s="31">
        <f t="shared" si="8"/>
        <v>39280</v>
      </c>
      <c r="Z71" s="28">
        <f t="shared" si="9"/>
        <v>31</v>
      </c>
      <c r="AA71" s="31">
        <f t="shared" si="10"/>
        <v>1116.1290322580646</v>
      </c>
      <c r="AB71" s="19" t="str">
        <f t="shared" si="11"/>
        <v>Fund if budget allows</v>
      </c>
    </row>
    <row r="72" spans="1:28" ht="57">
      <c r="A72" s="19" t="s">
        <v>49</v>
      </c>
      <c r="B72" s="19" t="s">
        <v>50</v>
      </c>
      <c r="C72" s="19" t="s">
        <v>51</v>
      </c>
      <c r="D72" s="19" t="s">
        <v>51</v>
      </c>
      <c r="E72" s="19" t="s">
        <v>491</v>
      </c>
      <c r="F72" s="19" t="s">
        <v>409</v>
      </c>
      <c r="G72" s="19" t="s">
        <v>410</v>
      </c>
      <c r="H72" s="31">
        <v>32600</v>
      </c>
      <c r="I72" s="31">
        <v>1600</v>
      </c>
      <c r="J72" s="31">
        <v>31000</v>
      </c>
      <c r="K72" s="19">
        <v>0</v>
      </c>
      <c r="L72" s="19">
        <v>0</v>
      </c>
      <c r="M72" s="19">
        <v>619124</v>
      </c>
      <c r="N72" s="31">
        <v>4334</v>
      </c>
      <c r="O72" s="19">
        <v>10</v>
      </c>
      <c r="P72" s="19">
        <v>4</v>
      </c>
      <c r="Q72" s="19">
        <v>5</v>
      </c>
      <c r="R72" s="19" t="s">
        <v>319</v>
      </c>
      <c r="S72" s="28">
        <v>0</v>
      </c>
      <c r="T72" s="19" t="s">
        <v>411</v>
      </c>
      <c r="U72" s="19" t="s">
        <v>393</v>
      </c>
      <c r="V72" s="19" t="s">
        <v>412</v>
      </c>
      <c r="W72" s="28">
        <f t="shared" si="6"/>
        <v>7.1527457314259344</v>
      </c>
      <c r="X72" s="31">
        <f t="shared" si="7"/>
        <v>43340</v>
      </c>
      <c r="Y72" s="31">
        <f t="shared" si="8"/>
        <v>12340</v>
      </c>
      <c r="Z72" s="28">
        <f t="shared" si="9"/>
        <v>0</v>
      </c>
      <c r="AA72" s="31" t="str">
        <f t="shared" si="10"/>
        <v/>
      </c>
      <c r="AB72" s="19" t="str">
        <f t="shared" si="11"/>
        <v>Study/defer</v>
      </c>
    </row>
    <row r="73" spans="1:28" ht="57">
      <c r="A73" s="19" t="s">
        <v>49</v>
      </c>
      <c r="B73" s="19" t="s">
        <v>50</v>
      </c>
      <c r="C73" s="19" t="s">
        <v>51</v>
      </c>
      <c r="D73" s="19" t="s">
        <v>51</v>
      </c>
      <c r="E73" s="19" t="s">
        <v>492</v>
      </c>
      <c r="F73" s="19" t="s">
        <v>414</v>
      </c>
      <c r="G73" s="19" t="s">
        <v>415</v>
      </c>
      <c r="H73" s="31">
        <v>73800</v>
      </c>
      <c r="I73" s="31">
        <v>7400</v>
      </c>
      <c r="J73" s="31">
        <v>66400</v>
      </c>
      <c r="K73" s="19">
        <v>5016</v>
      </c>
      <c r="L73" s="19">
        <v>2547</v>
      </c>
      <c r="M73" s="19">
        <v>0</v>
      </c>
      <c r="N73" s="31">
        <v>3529</v>
      </c>
      <c r="O73" s="19">
        <v>15</v>
      </c>
      <c r="P73" s="19">
        <v>5</v>
      </c>
      <c r="Q73" s="19">
        <v>4</v>
      </c>
      <c r="R73" s="19" t="s">
        <v>319</v>
      </c>
      <c r="S73" s="28">
        <v>16.2</v>
      </c>
      <c r="T73" s="19" t="s">
        <v>416</v>
      </c>
      <c r="U73" s="19" t="s">
        <v>393</v>
      </c>
      <c r="V73" s="19" t="s">
        <v>417</v>
      </c>
      <c r="W73" s="28">
        <f t="shared" si="6"/>
        <v>18.81552847832247</v>
      </c>
      <c r="X73" s="31">
        <f t="shared" si="7"/>
        <v>52935</v>
      </c>
      <c r="Y73" s="31">
        <f t="shared" si="8"/>
        <v>-13465</v>
      </c>
      <c r="Z73" s="28">
        <f t="shared" si="9"/>
        <v>243</v>
      </c>
      <c r="AA73" s="31">
        <f t="shared" si="10"/>
        <v>273.25102880658437</v>
      </c>
      <c r="AB73" s="19" t="str">
        <f t="shared" si="11"/>
        <v>Study/defer</v>
      </c>
    </row>
    <row r="74" spans="1:28" ht="71.25">
      <c r="A74" s="19" t="s">
        <v>49</v>
      </c>
      <c r="B74" s="19" t="s">
        <v>50</v>
      </c>
      <c r="C74" s="19" t="s">
        <v>51</v>
      </c>
      <c r="D74" s="19" t="s">
        <v>51</v>
      </c>
      <c r="E74" s="19" t="s">
        <v>493</v>
      </c>
      <c r="F74" s="19" t="s">
        <v>419</v>
      </c>
      <c r="G74" s="19" t="s">
        <v>420</v>
      </c>
      <c r="H74" s="31">
        <v>138800</v>
      </c>
      <c r="I74" s="31">
        <v>16700</v>
      </c>
      <c r="J74" s="31">
        <v>122100</v>
      </c>
      <c r="K74" s="19">
        <v>-29262</v>
      </c>
      <c r="L74" s="19">
        <v>3918</v>
      </c>
      <c r="M74" s="19">
        <v>0</v>
      </c>
      <c r="N74" s="31">
        <v>67</v>
      </c>
      <c r="O74" s="19">
        <v>12</v>
      </c>
      <c r="P74" s="19">
        <v>3</v>
      </c>
      <c r="Q74" s="19">
        <v>3</v>
      </c>
      <c r="R74" s="19" t="s">
        <v>322</v>
      </c>
      <c r="S74" s="28">
        <v>5.4</v>
      </c>
      <c r="T74" s="19" t="s">
        <v>421</v>
      </c>
      <c r="U74" s="19" t="s">
        <v>393</v>
      </c>
      <c r="V74" s="19" t="s">
        <v>422</v>
      </c>
      <c r="W74" s="28">
        <f t="shared" si="6"/>
        <v>1822.3880597014925</v>
      </c>
      <c r="X74" s="31">
        <f t="shared" si="7"/>
        <v>804</v>
      </c>
      <c r="Y74" s="31">
        <f t="shared" si="8"/>
        <v>-121296</v>
      </c>
      <c r="Z74" s="28">
        <f t="shared" si="9"/>
        <v>64.800000000000011</v>
      </c>
      <c r="AA74" s="31">
        <f t="shared" si="10"/>
        <v>1884.2592592592589</v>
      </c>
      <c r="AB74" s="19" t="str">
        <f t="shared" si="11"/>
        <v>Study/defer</v>
      </c>
    </row>
    <row r="75" spans="1:28" ht="85.5">
      <c r="A75" s="19" t="s">
        <v>49</v>
      </c>
      <c r="B75" s="19" t="s">
        <v>50</v>
      </c>
      <c r="C75" s="19" t="s">
        <v>51</v>
      </c>
      <c r="D75" s="19" t="s">
        <v>51</v>
      </c>
      <c r="E75" s="19" t="s">
        <v>494</v>
      </c>
      <c r="F75" s="19" t="s">
        <v>424</v>
      </c>
      <c r="G75" s="19" t="s">
        <v>425</v>
      </c>
      <c r="H75" s="31">
        <v>126000</v>
      </c>
      <c r="I75" s="31">
        <v>22700</v>
      </c>
      <c r="J75" s="31">
        <v>103300</v>
      </c>
      <c r="K75" s="19">
        <v>100325</v>
      </c>
      <c r="L75" s="19">
        <v>0</v>
      </c>
      <c r="M75" s="19">
        <v>0</v>
      </c>
      <c r="N75" s="31">
        <v>14547</v>
      </c>
      <c r="O75" s="19">
        <v>20</v>
      </c>
      <c r="P75" s="19">
        <v>2</v>
      </c>
      <c r="Q75" s="19">
        <v>4</v>
      </c>
      <c r="R75" s="19" t="s">
        <v>322</v>
      </c>
      <c r="S75" s="28">
        <v>52.9</v>
      </c>
      <c r="T75" s="19" t="s">
        <v>426</v>
      </c>
      <c r="U75" s="19" t="s">
        <v>393</v>
      </c>
      <c r="V75" s="19" t="s">
        <v>427</v>
      </c>
      <c r="W75" s="28">
        <f t="shared" si="6"/>
        <v>7.101120505946243</v>
      </c>
      <c r="X75" s="31">
        <f t="shared" si="7"/>
        <v>290940</v>
      </c>
      <c r="Y75" s="31">
        <f t="shared" si="8"/>
        <v>187640</v>
      </c>
      <c r="Z75" s="28">
        <f t="shared" si="9"/>
        <v>1058</v>
      </c>
      <c r="AA75" s="31">
        <f t="shared" si="10"/>
        <v>97.637051039697539</v>
      </c>
      <c r="AB75" s="19" t="str">
        <f t="shared" si="11"/>
        <v>Study/defer</v>
      </c>
    </row>
    <row r="76" spans="1:28" ht="99.75">
      <c r="A76" s="19" t="s">
        <v>49</v>
      </c>
      <c r="B76" s="19" t="s">
        <v>50</v>
      </c>
      <c r="C76" s="19" t="s">
        <v>51</v>
      </c>
      <c r="D76" s="19" t="s">
        <v>51</v>
      </c>
      <c r="E76" s="19" t="s">
        <v>495</v>
      </c>
      <c r="F76" s="19" t="s">
        <v>429</v>
      </c>
      <c r="G76" s="19" t="s">
        <v>430</v>
      </c>
      <c r="H76" s="31">
        <v>10400</v>
      </c>
      <c r="I76" s="31">
        <v>0</v>
      </c>
      <c r="J76" s="31">
        <v>10400</v>
      </c>
      <c r="K76" s="19">
        <v>0</v>
      </c>
      <c r="L76" s="19">
        <v>0</v>
      </c>
      <c r="M76" s="19">
        <v>0</v>
      </c>
      <c r="N76" s="31">
        <v>2160</v>
      </c>
      <c r="O76" s="19">
        <v>3</v>
      </c>
      <c r="P76" s="19">
        <v>3</v>
      </c>
      <c r="Q76" s="19">
        <v>3</v>
      </c>
      <c r="R76" s="19" t="s">
        <v>335</v>
      </c>
      <c r="S76" s="28">
        <v>0</v>
      </c>
      <c r="T76" s="19" t="s">
        <v>431</v>
      </c>
      <c r="U76" s="19" t="s">
        <v>393</v>
      </c>
      <c r="V76" s="19" t="s">
        <v>432</v>
      </c>
      <c r="W76" s="28">
        <f t="shared" si="6"/>
        <v>4.8148148148148149</v>
      </c>
      <c r="X76" s="31">
        <f t="shared" si="7"/>
        <v>6480</v>
      </c>
      <c r="Y76" s="31">
        <f t="shared" si="8"/>
        <v>-3920</v>
      </c>
      <c r="Z76" s="28">
        <f t="shared" si="9"/>
        <v>0</v>
      </c>
      <c r="AA76" s="31" t="str">
        <f t="shared" si="10"/>
        <v/>
      </c>
      <c r="AB76" s="19" t="str">
        <f t="shared" si="11"/>
        <v>Fund if budget allows</v>
      </c>
    </row>
    <row r="77" spans="1:28" ht="71.25">
      <c r="A77" s="19" t="s">
        <v>52</v>
      </c>
      <c r="B77" s="19" t="s">
        <v>53</v>
      </c>
      <c r="C77" s="19" t="s">
        <v>24</v>
      </c>
      <c r="D77" s="19" t="s">
        <v>25</v>
      </c>
      <c r="E77" s="19" t="s">
        <v>496</v>
      </c>
      <c r="F77" s="19" t="s">
        <v>390</v>
      </c>
      <c r="G77" s="19" t="s">
        <v>391</v>
      </c>
      <c r="H77" s="31">
        <v>68200</v>
      </c>
      <c r="I77" s="31">
        <v>8200</v>
      </c>
      <c r="J77" s="31">
        <v>60000</v>
      </c>
      <c r="K77" s="19">
        <v>38874</v>
      </c>
      <c r="L77" s="19">
        <v>0</v>
      </c>
      <c r="M77" s="19">
        <v>0</v>
      </c>
      <c r="N77" s="31">
        <v>5637</v>
      </c>
      <c r="O77" s="19">
        <v>10</v>
      </c>
      <c r="P77" s="19">
        <v>2</v>
      </c>
      <c r="Q77" s="19">
        <v>5</v>
      </c>
      <c r="R77" s="19" t="s">
        <v>335</v>
      </c>
      <c r="S77" s="28">
        <v>20.5</v>
      </c>
      <c r="T77" s="19" t="s">
        <v>392</v>
      </c>
      <c r="U77" s="19" t="s">
        <v>393</v>
      </c>
      <c r="V77" s="19" t="s">
        <v>394</v>
      </c>
      <c r="W77" s="28">
        <f t="shared" si="6"/>
        <v>10.643959552953699</v>
      </c>
      <c r="X77" s="31">
        <f t="shared" si="7"/>
        <v>56370</v>
      </c>
      <c r="Y77" s="31">
        <f t="shared" si="8"/>
        <v>-3630</v>
      </c>
      <c r="Z77" s="28">
        <f t="shared" si="9"/>
        <v>205</v>
      </c>
      <c r="AA77" s="31">
        <f t="shared" si="10"/>
        <v>292.6829268292683</v>
      </c>
      <c r="AB77" s="19" t="str">
        <f t="shared" si="11"/>
        <v>Study/defer</v>
      </c>
    </row>
    <row r="78" spans="1:28" ht="71.25">
      <c r="A78" s="19" t="s">
        <v>52</v>
      </c>
      <c r="B78" s="19" t="s">
        <v>53</v>
      </c>
      <c r="C78" s="19" t="s">
        <v>24</v>
      </c>
      <c r="D78" s="19" t="s">
        <v>25</v>
      </c>
      <c r="E78" s="19" t="s">
        <v>497</v>
      </c>
      <c r="F78" s="19" t="s">
        <v>396</v>
      </c>
      <c r="G78" s="19" t="s">
        <v>391</v>
      </c>
      <c r="H78" s="31">
        <v>46100</v>
      </c>
      <c r="I78" s="31">
        <v>4600</v>
      </c>
      <c r="J78" s="31">
        <v>41500</v>
      </c>
      <c r="K78" s="19">
        <v>0</v>
      </c>
      <c r="L78" s="19">
        <v>3050</v>
      </c>
      <c r="M78" s="19">
        <v>0</v>
      </c>
      <c r="N78" s="31">
        <v>3355</v>
      </c>
      <c r="O78" s="19">
        <v>8</v>
      </c>
      <c r="P78" s="19">
        <v>3</v>
      </c>
      <c r="Q78" s="19">
        <v>5</v>
      </c>
      <c r="R78" s="19" t="s">
        <v>319</v>
      </c>
      <c r="S78" s="28">
        <v>16.2</v>
      </c>
      <c r="T78" s="19" t="s">
        <v>392</v>
      </c>
      <c r="U78" s="19" t="s">
        <v>393</v>
      </c>
      <c r="V78" s="19" t="s">
        <v>397</v>
      </c>
      <c r="W78" s="28">
        <f t="shared" si="6"/>
        <v>12.369597615499254</v>
      </c>
      <c r="X78" s="31">
        <f t="shared" si="7"/>
        <v>26840</v>
      </c>
      <c r="Y78" s="31">
        <f t="shared" si="8"/>
        <v>-14660</v>
      </c>
      <c r="Z78" s="28">
        <f t="shared" si="9"/>
        <v>129.6</v>
      </c>
      <c r="AA78" s="31">
        <f t="shared" si="10"/>
        <v>320.21604938271605</v>
      </c>
      <c r="AB78" s="19" t="str">
        <f t="shared" si="11"/>
        <v>Study/defer</v>
      </c>
    </row>
    <row r="79" spans="1:28" ht="57">
      <c r="A79" s="19" t="s">
        <v>52</v>
      </c>
      <c r="B79" s="19" t="s">
        <v>53</v>
      </c>
      <c r="C79" s="19" t="s">
        <v>24</v>
      </c>
      <c r="D79" s="19" t="s">
        <v>25</v>
      </c>
      <c r="E79" s="19" t="s">
        <v>498</v>
      </c>
      <c r="F79" s="19" t="s">
        <v>399</v>
      </c>
      <c r="G79" s="19" t="s">
        <v>400</v>
      </c>
      <c r="H79" s="31">
        <v>81400</v>
      </c>
      <c r="I79" s="31">
        <v>8100</v>
      </c>
      <c r="J79" s="31">
        <v>73300</v>
      </c>
      <c r="K79" s="19">
        <v>13328</v>
      </c>
      <c r="L79" s="19">
        <v>1715</v>
      </c>
      <c r="M79" s="19">
        <v>0</v>
      </c>
      <c r="N79" s="31">
        <v>3819</v>
      </c>
      <c r="O79" s="19">
        <v>8</v>
      </c>
      <c r="P79" s="19">
        <v>5</v>
      </c>
      <c r="Q79" s="19">
        <v>4</v>
      </c>
      <c r="R79" s="19" t="s">
        <v>319</v>
      </c>
      <c r="S79" s="28">
        <v>16.100000000000001</v>
      </c>
      <c r="T79" s="19" t="s">
        <v>401</v>
      </c>
      <c r="U79" s="19" t="s">
        <v>393</v>
      </c>
      <c r="V79" s="19" t="s">
        <v>402</v>
      </c>
      <c r="W79" s="28">
        <f t="shared" si="6"/>
        <v>19.193506153443309</v>
      </c>
      <c r="X79" s="31">
        <f t="shared" si="7"/>
        <v>30552</v>
      </c>
      <c r="Y79" s="31">
        <f t="shared" si="8"/>
        <v>-42748</v>
      </c>
      <c r="Z79" s="28">
        <f t="shared" si="9"/>
        <v>128.80000000000001</v>
      </c>
      <c r="AA79" s="31">
        <f t="shared" si="10"/>
        <v>569.09937888198749</v>
      </c>
      <c r="AB79" s="19" t="str">
        <f t="shared" si="11"/>
        <v>Study/defer</v>
      </c>
    </row>
    <row r="80" spans="1:28" ht="57">
      <c r="A80" s="19" t="s">
        <v>52</v>
      </c>
      <c r="B80" s="19" t="s">
        <v>53</v>
      </c>
      <c r="C80" s="19" t="s">
        <v>24</v>
      </c>
      <c r="D80" s="19" t="s">
        <v>25</v>
      </c>
      <c r="E80" s="19" t="s">
        <v>499</v>
      </c>
      <c r="F80" s="19" t="s">
        <v>404</v>
      </c>
      <c r="G80" s="19" t="s">
        <v>405</v>
      </c>
      <c r="H80" s="31">
        <v>54100</v>
      </c>
      <c r="I80" s="31">
        <v>4300</v>
      </c>
      <c r="J80" s="31">
        <v>49800</v>
      </c>
      <c r="K80" s="19">
        <v>0</v>
      </c>
      <c r="L80" s="19">
        <v>572</v>
      </c>
      <c r="M80" s="19">
        <v>1219104</v>
      </c>
      <c r="N80" s="31">
        <v>9163</v>
      </c>
      <c r="O80" s="19">
        <v>10</v>
      </c>
      <c r="P80" s="19">
        <v>4</v>
      </c>
      <c r="Q80" s="19">
        <v>4</v>
      </c>
      <c r="R80" s="19" t="s">
        <v>335</v>
      </c>
      <c r="S80" s="28">
        <v>3</v>
      </c>
      <c r="T80" s="19" t="s">
        <v>406</v>
      </c>
      <c r="U80" s="19" t="s">
        <v>393</v>
      </c>
      <c r="V80" s="19" t="s">
        <v>407</v>
      </c>
      <c r="W80" s="28">
        <f t="shared" si="6"/>
        <v>5.4349012332205611</v>
      </c>
      <c r="X80" s="31">
        <f t="shared" si="7"/>
        <v>91630</v>
      </c>
      <c r="Y80" s="31">
        <f t="shared" si="8"/>
        <v>41830</v>
      </c>
      <c r="Z80" s="28">
        <f t="shared" si="9"/>
        <v>30</v>
      </c>
      <c r="AA80" s="31">
        <f t="shared" si="10"/>
        <v>1660</v>
      </c>
      <c r="AB80" s="19" t="str">
        <f t="shared" si="11"/>
        <v>Fund if budget allows</v>
      </c>
    </row>
    <row r="81" spans="1:28" ht="57">
      <c r="A81" s="19" t="s">
        <v>52</v>
      </c>
      <c r="B81" s="19" t="s">
        <v>53</v>
      </c>
      <c r="C81" s="19" t="s">
        <v>24</v>
      </c>
      <c r="D81" s="19" t="s">
        <v>25</v>
      </c>
      <c r="E81" s="19" t="s">
        <v>500</v>
      </c>
      <c r="F81" s="19" t="s">
        <v>409</v>
      </c>
      <c r="G81" s="19" t="s">
        <v>410</v>
      </c>
      <c r="H81" s="31">
        <v>44200</v>
      </c>
      <c r="I81" s="31">
        <v>2200</v>
      </c>
      <c r="J81" s="31">
        <v>42000</v>
      </c>
      <c r="K81" s="19">
        <v>0</v>
      </c>
      <c r="L81" s="19">
        <v>0</v>
      </c>
      <c r="M81" s="19">
        <v>783710</v>
      </c>
      <c r="N81" s="31">
        <v>5486</v>
      </c>
      <c r="O81" s="19">
        <v>10</v>
      </c>
      <c r="P81" s="19">
        <v>4</v>
      </c>
      <c r="Q81" s="19">
        <v>5</v>
      </c>
      <c r="R81" s="19" t="s">
        <v>319</v>
      </c>
      <c r="S81" s="28">
        <v>0</v>
      </c>
      <c r="T81" s="19" t="s">
        <v>411</v>
      </c>
      <c r="U81" s="19" t="s">
        <v>393</v>
      </c>
      <c r="V81" s="19" t="s">
        <v>412</v>
      </c>
      <c r="W81" s="28">
        <f t="shared" si="6"/>
        <v>7.6558512577469919</v>
      </c>
      <c r="X81" s="31">
        <f t="shared" si="7"/>
        <v>54860</v>
      </c>
      <c r="Y81" s="31">
        <f t="shared" si="8"/>
        <v>12860</v>
      </c>
      <c r="Z81" s="28">
        <f t="shared" si="9"/>
        <v>0</v>
      </c>
      <c r="AA81" s="31" t="str">
        <f t="shared" si="10"/>
        <v/>
      </c>
      <c r="AB81" s="19" t="str">
        <f t="shared" si="11"/>
        <v>Study/defer</v>
      </c>
    </row>
    <row r="82" spans="1:28" ht="57">
      <c r="A82" s="19" t="s">
        <v>52</v>
      </c>
      <c r="B82" s="19" t="s">
        <v>53</v>
      </c>
      <c r="C82" s="19" t="s">
        <v>24</v>
      </c>
      <c r="D82" s="19" t="s">
        <v>25</v>
      </c>
      <c r="E82" s="19" t="s">
        <v>501</v>
      </c>
      <c r="F82" s="19" t="s">
        <v>414</v>
      </c>
      <c r="G82" s="19" t="s">
        <v>415</v>
      </c>
      <c r="H82" s="31">
        <v>105200</v>
      </c>
      <c r="I82" s="31">
        <v>10500</v>
      </c>
      <c r="J82" s="31">
        <v>94700</v>
      </c>
      <c r="K82" s="19">
        <v>6664</v>
      </c>
      <c r="L82" s="19">
        <v>2478</v>
      </c>
      <c r="M82" s="19">
        <v>0</v>
      </c>
      <c r="N82" s="31">
        <v>3692</v>
      </c>
      <c r="O82" s="19">
        <v>15</v>
      </c>
      <c r="P82" s="19">
        <v>5</v>
      </c>
      <c r="Q82" s="19">
        <v>4</v>
      </c>
      <c r="R82" s="19" t="s">
        <v>319</v>
      </c>
      <c r="S82" s="28">
        <v>16.7</v>
      </c>
      <c r="T82" s="19" t="s">
        <v>416</v>
      </c>
      <c r="U82" s="19" t="s">
        <v>393</v>
      </c>
      <c r="V82" s="19" t="s">
        <v>417</v>
      </c>
      <c r="W82" s="28">
        <f t="shared" si="6"/>
        <v>25.650054171180933</v>
      </c>
      <c r="X82" s="31">
        <f t="shared" si="7"/>
        <v>55380</v>
      </c>
      <c r="Y82" s="31">
        <f t="shared" si="8"/>
        <v>-39320</v>
      </c>
      <c r="Z82" s="28">
        <f t="shared" si="9"/>
        <v>250.5</v>
      </c>
      <c r="AA82" s="31">
        <f t="shared" si="10"/>
        <v>378.0439121756487</v>
      </c>
      <c r="AB82" s="19" t="str">
        <f t="shared" si="11"/>
        <v>Study/defer</v>
      </c>
    </row>
    <row r="83" spans="1:28" ht="71.25">
      <c r="A83" s="19" t="s">
        <v>52</v>
      </c>
      <c r="B83" s="19" t="s">
        <v>53</v>
      </c>
      <c r="C83" s="19" t="s">
        <v>24</v>
      </c>
      <c r="D83" s="19" t="s">
        <v>25</v>
      </c>
      <c r="E83" s="19" t="s">
        <v>502</v>
      </c>
      <c r="F83" s="19" t="s">
        <v>419</v>
      </c>
      <c r="G83" s="19" t="s">
        <v>420</v>
      </c>
      <c r="H83" s="31">
        <v>191500</v>
      </c>
      <c r="I83" s="31">
        <v>23000</v>
      </c>
      <c r="J83" s="31">
        <v>168500</v>
      </c>
      <c r="K83" s="19">
        <v>-38874</v>
      </c>
      <c r="L83" s="19">
        <v>3812</v>
      </c>
      <c r="M83" s="19">
        <v>0</v>
      </c>
      <c r="N83" s="31">
        <v>-977</v>
      </c>
      <c r="O83" s="19">
        <v>12</v>
      </c>
      <c r="P83" s="19">
        <v>3</v>
      </c>
      <c r="Q83" s="19">
        <v>3</v>
      </c>
      <c r="R83" s="19" t="s">
        <v>322</v>
      </c>
      <c r="S83" s="28">
        <v>-0.3</v>
      </c>
      <c r="T83" s="19" t="s">
        <v>421</v>
      </c>
      <c r="U83" s="19" t="s">
        <v>393</v>
      </c>
      <c r="V83" s="19" t="s">
        <v>422</v>
      </c>
      <c r="W83" s="28">
        <f t="shared" si="6"/>
        <v>-172.46673490276356</v>
      </c>
      <c r="X83" s="31">
        <f t="shared" si="7"/>
        <v>-11724</v>
      </c>
      <c r="Y83" s="31">
        <f t="shared" si="8"/>
        <v>-180224</v>
      </c>
      <c r="Z83" s="28">
        <f t="shared" si="9"/>
        <v>-3.5999999999999996</v>
      </c>
      <c r="AA83" s="31">
        <f t="shared" si="10"/>
        <v>-46805.555555555562</v>
      </c>
      <c r="AB83" s="19" t="str">
        <f t="shared" si="11"/>
        <v>Fund if budget allows</v>
      </c>
    </row>
    <row r="84" spans="1:28" ht="85.5">
      <c r="A84" s="19" t="s">
        <v>52</v>
      </c>
      <c r="B84" s="19" t="s">
        <v>53</v>
      </c>
      <c r="C84" s="19" t="s">
        <v>24</v>
      </c>
      <c r="D84" s="19" t="s">
        <v>25</v>
      </c>
      <c r="E84" s="19" t="s">
        <v>503</v>
      </c>
      <c r="F84" s="19" t="s">
        <v>424</v>
      </c>
      <c r="G84" s="19" t="s">
        <v>425</v>
      </c>
      <c r="H84" s="31">
        <v>175500</v>
      </c>
      <c r="I84" s="31">
        <v>25000</v>
      </c>
      <c r="J84" s="31">
        <v>150500</v>
      </c>
      <c r="K84" s="19">
        <v>133283</v>
      </c>
      <c r="L84" s="19">
        <v>0</v>
      </c>
      <c r="M84" s="19">
        <v>0</v>
      </c>
      <c r="N84" s="31">
        <v>19326</v>
      </c>
      <c r="O84" s="19">
        <v>20</v>
      </c>
      <c r="P84" s="19">
        <v>2</v>
      </c>
      <c r="Q84" s="19">
        <v>4</v>
      </c>
      <c r="R84" s="19" t="s">
        <v>322</v>
      </c>
      <c r="S84" s="28">
        <v>70.3</v>
      </c>
      <c r="T84" s="19" t="s">
        <v>426</v>
      </c>
      <c r="U84" s="19" t="s">
        <v>393</v>
      </c>
      <c r="V84" s="19" t="s">
        <v>427</v>
      </c>
      <c r="W84" s="28">
        <f t="shared" si="6"/>
        <v>7.7874366138880262</v>
      </c>
      <c r="X84" s="31">
        <f t="shared" si="7"/>
        <v>386520</v>
      </c>
      <c r="Y84" s="31">
        <f t="shared" si="8"/>
        <v>236020</v>
      </c>
      <c r="Z84" s="28">
        <f t="shared" si="9"/>
        <v>1406</v>
      </c>
      <c r="AA84" s="31">
        <f t="shared" si="10"/>
        <v>107.04125177809388</v>
      </c>
      <c r="AB84" s="19" t="str">
        <f t="shared" si="11"/>
        <v>Study/defer</v>
      </c>
    </row>
    <row r="85" spans="1:28" ht="99.75">
      <c r="A85" s="19" t="s">
        <v>52</v>
      </c>
      <c r="B85" s="19" t="s">
        <v>53</v>
      </c>
      <c r="C85" s="19" t="s">
        <v>24</v>
      </c>
      <c r="D85" s="19" t="s">
        <v>25</v>
      </c>
      <c r="E85" s="19" t="s">
        <v>504</v>
      </c>
      <c r="F85" s="19" t="s">
        <v>429</v>
      </c>
      <c r="G85" s="19" t="s">
        <v>430</v>
      </c>
      <c r="H85" s="31">
        <v>13300</v>
      </c>
      <c r="I85" s="31">
        <v>0</v>
      </c>
      <c r="J85" s="31">
        <v>13300</v>
      </c>
      <c r="K85" s="19">
        <v>0</v>
      </c>
      <c r="L85" s="19">
        <v>0</v>
      </c>
      <c r="M85" s="19">
        <v>0</v>
      </c>
      <c r="N85" s="31">
        <v>3420</v>
      </c>
      <c r="O85" s="19">
        <v>3</v>
      </c>
      <c r="P85" s="19">
        <v>3</v>
      </c>
      <c r="Q85" s="19">
        <v>3</v>
      </c>
      <c r="R85" s="19" t="s">
        <v>335</v>
      </c>
      <c r="S85" s="28">
        <v>0</v>
      </c>
      <c r="T85" s="19" t="s">
        <v>431</v>
      </c>
      <c r="U85" s="19" t="s">
        <v>393</v>
      </c>
      <c r="V85" s="19" t="s">
        <v>432</v>
      </c>
      <c r="W85" s="28">
        <f t="shared" si="6"/>
        <v>3.8888888888888888</v>
      </c>
      <c r="X85" s="31">
        <f t="shared" si="7"/>
        <v>10260</v>
      </c>
      <c r="Y85" s="31">
        <f t="shared" si="8"/>
        <v>-3040</v>
      </c>
      <c r="Z85" s="28">
        <f t="shared" si="9"/>
        <v>0</v>
      </c>
      <c r="AA85" s="31" t="str">
        <f t="shared" si="10"/>
        <v/>
      </c>
      <c r="AB85" s="19" t="str">
        <f t="shared" si="11"/>
        <v>Fund if budget allows</v>
      </c>
    </row>
    <row r="86" spans="1:28" ht="71.25">
      <c r="A86" s="19" t="s">
        <v>54</v>
      </c>
      <c r="B86" s="19" t="s">
        <v>55</v>
      </c>
      <c r="C86" s="19" t="s">
        <v>56</v>
      </c>
      <c r="D86" s="19" t="s">
        <v>56</v>
      </c>
      <c r="E86" s="19" t="s">
        <v>505</v>
      </c>
      <c r="F86" s="19" t="s">
        <v>390</v>
      </c>
      <c r="G86" s="19" t="s">
        <v>391</v>
      </c>
      <c r="H86" s="31">
        <v>75200</v>
      </c>
      <c r="I86" s="31">
        <v>9000</v>
      </c>
      <c r="J86" s="31">
        <v>66200</v>
      </c>
      <c r="K86" s="19">
        <v>43152</v>
      </c>
      <c r="L86" s="19">
        <v>0</v>
      </c>
      <c r="M86" s="19">
        <v>0</v>
      </c>
      <c r="N86" s="31">
        <v>6257</v>
      </c>
      <c r="O86" s="19">
        <v>10</v>
      </c>
      <c r="P86" s="19">
        <v>2</v>
      </c>
      <c r="Q86" s="19">
        <v>5</v>
      </c>
      <c r="R86" s="19" t="s">
        <v>335</v>
      </c>
      <c r="S86" s="28">
        <v>22.8</v>
      </c>
      <c r="T86" s="19" t="s">
        <v>392</v>
      </c>
      <c r="U86" s="19" t="s">
        <v>393</v>
      </c>
      <c r="V86" s="19" t="s">
        <v>394</v>
      </c>
      <c r="W86" s="28">
        <f t="shared" si="6"/>
        <v>10.580150231740451</v>
      </c>
      <c r="X86" s="31">
        <f t="shared" si="7"/>
        <v>62570</v>
      </c>
      <c r="Y86" s="31">
        <f t="shared" si="8"/>
        <v>-3630</v>
      </c>
      <c r="Z86" s="28">
        <f t="shared" si="9"/>
        <v>228</v>
      </c>
      <c r="AA86" s="31">
        <f t="shared" si="10"/>
        <v>290.35087719298247</v>
      </c>
      <c r="AB86" s="19" t="str">
        <f t="shared" si="11"/>
        <v>Study/defer</v>
      </c>
    </row>
    <row r="87" spans="1:28" ht="71.25">
      <c r="A87" s="19" t="s">
        <v>54</v>
      </c>
      <c r="B87" s="19" t="s">
        <v>55</v>
      </c>
      <c r="C87" s="19" t="s">
        <v>56</v>
      </c>
      <c r="D87" s="19" t="s">
        <v>56</v>
      </c>
      <c r="E87" s="19" t="s">
        <v>506</v>
      </c>
      <c r="F87" s="19" t="s">
        <v>396</v>
      </c>
      <c r="G87" s="19" t="s">
        <v>391</v>
      </c>
      <c r="H87" s="31">
        <v>50500</v>
      </c>
      <c r="I87" s="31">
        <v>5000</v>
      </c>
      <c r="J87" s="31">
        <v>45500</v>
      </c>
      <c r="K87" s="19">
        <v>0</v>
      </c>
      <c r="L87" s="19">
        <v>5990</v>
      </c>
      <c r="M87" s="19">
        <v>0</v>
      </c>
      <c r="N87" s="31">
        <v>6589</v>
      </c>
      <c r="O87" s="19">
        <v>8</v>
      </c>
      <c r="P87" s="19">
        <v>3</v>
      </c>
      <c r="Q87" s="19">
        <v>5</v>
      </c>
      <c r="R87" s="19" t="s">
        <v>319</v>
      </c>
      <c r="S87" s="28">
        <v>31.8</v>
      </c>
      <c r="T87" s="19" t="s">
        <v>392</v>
      </c>
      <c r="U87" s="19" t="s">
        <v>393</v>
      </c>
      <c r="V87" s="19" t="s">
        <v>397</v>
      </c>
      <c r="W87" s="28">
        <f t="shared" si="6"/>
        <v>6.905448474730612</v>
      </c>
      <c r="X87" s="31">
        <f t="shared" si="7"/>
        <v>52712</v>
      </c>
      <c r="Y87" s="31">
        <f t="shared" si="8"/>
        <v>7212</v>
      </c>
      <c r="Z87" s="28">
        <f t="shared" si="9"/>
        <v>254.4</v>
      </c>
      <c r="AA87" s="31">
        <f t="shared" si="10"/>
        <v>178.85220125786162</v>
      </c>
      <c r="AB87" s="19" t="str">
        <f t="shared" si="11"/>
        <v>Fund if budget allows</v>
      </c>
    </row>
    <row r="88" spans="1:28" ht="57">
      <c r="A88" s="19" t="s">
        <v>54</v>
      </c>
      <c r="B88" s="19" t="s">
        <v>55</v>
      </c>
      <c r="C88" s="19" t="s">
        <v>56</v>
      </c>
      <c r="D88" s="19" t="s">
        <v>56</v>
      </c>
      <c r="E88" s="19" t="s">
        <v>507</v>
      </c>
      <c r="F88" s="19" t="s">
        <v>399</v>
      </c>
      <c r="G88" s="19" t="s">
        <v>400</v>
      </c>
      <c r="H88" s="31">
        <v>90400</v>
      </c>
      <c r="I88" s="31">
        <v>9000</v>
      </c>
      <c r="J88" s="31">
        <v>81400</v>
      </c>
      <c r="K88" s="19">
        <v>14795</v>
      </c>
      <c r="L88" s="19">
        <v>3370</v>
      </c>
      <c r="M88" s="19">
        <v>0</v>
      </c>
      <c r="N88" s="31">
        <v>5852</v>
      </c>
      <c r="O88" s="19">
        <v>8</v>
      </c>
      <c r="P88" s="19">
        <v>5</v>
      </c>
      <c r="Q88" s="19">
        <v>4</v>
      </c>
      <c r="R88" s="19" t="s">
        <v>319</v>
      </c>
      <c r="S88" s="28">
        <v>25.7</v>
      </c>
      <c r="T88" s="19" t="s">
        <v>401</v>
      </c>
      <c r="U88" s="19" t="s">
        <v>393</v>
      </c>
      <c r="V88" s="19" t="s">
        <v>402</v>
      </c>
      <c r="W88" s="28">
        <f t="shared" si="6"/>
        <v>13.909774436090226</v>
      </c>
      <c r="X88" s="31">
        <f t="shared" si="7"/>
        <v>46816</v>
      </c>
      <c r="Y88" s="31">
        <f t="shared" si="8"/>
        <v>-34584</v>
      </c>
      <c r="Z88" s="28">
        <f t="shared" si="9"/>
        <v>205.6</v>
      </c>
      <c r="AA88" s="31">
        <f t="shared" si="10"/>
        <v>395.91439688715957</v>
      </c>
      <c r="AB88" s="19" t="str">
        <f t="shared" si="11"/>
        <v>Study/defer</v>
      </c>
    </row>
    <row r="89" spans="1:28" ht="57">
      <c r="A89" s="19" t="s">
        <v>54</v>
      </c>
      <c r="B89" s="19" t="s">
        <v>55</v>
      </c>
      <c r="C89" s="19" t="s">
        <v>56</v>
      </c>
      <c r="D89" s="19" t="s">
        <v>56</v>
      </c>
      <c r="E89" s="19" t="s">
        <v>508</v>
      </c>
      <c r="F89" s="19" t="s">
        <v>404</v>
      </c>
      <c r="G89" s="19" t="s">
        <v>405</v>
      </c>
      <c r="H89" s="31">
        <v>60000</v>
      </c>
      <c r="I89" s="31">
        <v>4800</v>
      </c>
      <c r="J89" s="31">
        <v>55200</v>
      </c>
      <c r="K89" s="19">
        <v>0</v>
      </c>
      <c r="L89" s="19">
        <v>1123</v>
      </c>
      <c r="M89" s="19">
        <v>1906155</v>
      </c>
      <c r="N89" s="31">
        <v>14578</v>
      </c>
      <c r="O89" s="19">
        <v>10</v>
      </c>
      <c r="P89" s="19">
        <v>4</v>
      </c>
      <c r="Q89" s="19">
        <v>4</v>
      </c>
      <c r="R89" s="19" t="s">
        <v>335</v>
      </c>
      <c r="S89" s="28">
        <v>6</v>
      </c>
      <c r="T89" s="19" t="s">
        <v>406</v>
      </c>
      <c r="U89" s="19" t="s">
        <v>393</v>
      </c>
      <c r="V89" s="19" t="s">
        <v>407</v>
      </c>
      <c r="W89" s="28">
        <f t="shared" si="6"/>
        <v>3.7865276443956648</v>
      </c>
      <c r="X89" s="31">
        <f t="shared" si="7"/>
        <v>145780</v>
      </c>
      <c r="Y89" s="31">
        <f t="shared" si="8"/>
        <v>90580</v>
      </c>
      <c r="Z89" s="28">
        <f t="shared" si="9"/>
        <v>60</v>
      </c>
      <c r="AA89" s="31">
        <f t="shared" si="10"/>
        <v>920</v>
      </c>
      <c r="AB89" s="19" t="str">
        <f t="shared" si="11"/>
        <v>Fund if budget allows</v>
      </c>
    </row>
    <row r="90" spans="1:28" ht="57">
      <c r="A90" s="19" t="s">
        <v>54</v>
      </c>
      <c r="B90" s="19" t="s">
        <v>55</v>
      </c>
      <c r="C90" s="19" t="s">
        <v>56</v>
      </c>
      <c r="D90" s="19" t="s">
        <v>56</v>
      </c>
      <c r="E90" s="19" t="s">
        <v>509</v>
      </c>
      <c r="F90" s="19" t="s">
        <v>409</v>
      </c>
      <c r="G90" s="19" t="s">
        <v>410</v>
      </c>
      <c r="H90" s="31">
        <v>48700</v>
      </c>
      <c r="I90" s="31">
        <v>2400</v>
      </c>
      <c r="J90" s="31">
        <v>46300</v>
      </c>
      <c r="K90" s="19">
        <v>0</v>
      </c>
      <c r="L90" s="19">
        <v>0</v>
      </c>
      <c r="M90" s="19">
        <v>1225386</v>
      </c>
      <c r="N90" s="31">
        <v>8578</v>
      </c>
      <c r="O90" s="19">
        <v>10</v>
      </c>
      <c r="P90" s="19">
        <v>4</v>
      </c>
      <c r="Q90" s="19">
        <v>5</v>
      </c>
      <c r="R90" s="19" t="s">
        <v>319</v>
      </c>
      <c r="S90" s="28">
        <v>0</v>
      </c>
      <c r="T90" s="19" t="s">
        <v>411</v>
      </c>
      <c r="U90" s="19" t="s">
        <v>393</v>
      </c>
      <c r="V90" s="19" t="s">
        <v>412</v>
      </c>
      <c r="W90" s="28">
        <f t="shared" si="6"/>
        <v>5.3975285614362321</v>
      </c>
      <c r="X90" s="31">
        <f t="shared" si="7"/>
        <v>85780</v>
      </c>
      <c r="Y90" s="31">
        <f t="shared" si="8"/>
        <v>39480</v>
      </c>
      <c r="Z90" s="28">
        <f t="shared" si="9"/>
        <v>0</v>
      </c>
      <c r="AA90" s="31" t="str">
        <f t="shared" si="10"/>
        <v/>
      </c>
      <c r="AB90" s="19" t="str">
        <f t="shared" si="11"/>
        <v>Fund if budget allows</v>
      </c>
    </row>
    <row r="91" spans="1:28" ht="57">
      <c r="A91" s="19" t="s">
        <v>54</v>
      </c>
      <c r="B91" s="19" t="s">
        <v>55</v>
      </c>
      <c r="C91" s="19" t="s">
        <v>56</v>
      </c>
      <c r="D91" s="19" t="s">
        <v>56</v>
      </c>
      <c r="E91" s="19" t="s">
        <v>510</v>
      </c>
      <c r="F91" s="19" t="s">
        <v>414</v>
      </c>
      <c r="G91" s="19" t="s">
        <v>415</v>
      </c>
      <c r="H91" s="31">
        <v>115600</v>
      </c>
      <c r="I91" s="31">
        <v>11600</v>
      </c>
      <c r="J91" s="31">
        <v>104000</v>
      </c>
      <c r="K91" s="19">
        <v>7398</v>
      </c>
      <c r="L91" s="19">
        <v>4867</v>
      </c>
      <c r="M91" s="19">
        <v>0</v>
      </c>
      <c r="N91" s="31">
        <v>6426</v>
      </c>
      <c r="O91" s="19">
        <v>15</v>
      </c>
      <c r="P91" s="19">
        <v>5</v>
      </c>
      <c r="Q91" s="19">
        <v>4</v>
      </c>
      <c r="R91" s="19" t="s">
        <v>319</v>
      </c>
      <c r="S91" s="28">
        <v>29.8</v>
      </c>
      <c r="T91" s="19" t="s">
        <v>416</v>
      </c>
      <c r="U91" s="19" t="s">
        <v>393</v>
      </c>
      <c r="V91" s="19" t="s">
        <v>417</v>
      </c>
      <c r="W91" s="28">
        <f t="shared" si="6"/>
        <v>16.184251478369127</v>
      </c>
      <c r="X91" s="31">
        <f t="shared" si="7"/>
        <v>96390</v>
      </c>
      <c r="Y91" s="31">
        <f t="shared" si="8"/>
        <v>-7610</v>
      </c>
      <c r="Z91" s="28">
        <f t="shared" si="9"/>
        <v>447</v>
      </c>
      <c r="AA91" s="31">
        <f t="shared" si="10"/>
        <v>232.66219239373601</v>
      </c>
      <c r="AB91" s="19" t="str">
        <f t="shared" si="11"/>
        <v>Study/defer</v>
      </c>
    </row>
    <row r="92" spans="1:28" ht="71.25">
      <c r="A92" s="19" t="s">
        <v>54</v>
      </c>
      <c r="B92" s="19" t="s">
        <v>55</v>
      </c>
      <c r="C92" s="19" t="s">
        <v>56</v>
      </c>
      <c r="D92" s="19" t="s">
        <v>56</v>
      </c>
      <c r="E92" s="19" t="s">
        <v>511</v>
      </c>
      <c r="F92" s="19" t="s">
        <v>419</v>
      </c>
      <c r="G92" s="19" t="s">
        <v>420</v>
      </c>
      <c r="H92" s="31">
        <v>211100</v>
      </c>
      <c r="I92" s="31">
        <v>25300</v>
      </c>
      <c r="J92" s="31">
        <v>185800</v>
      </c>
      <c r="K92" s="19">
        <v>-43152</v>
      </c>
      <c r="L92" s="19">
        <v>7488</v>
      </c>
      <c r="M92" s="19">
        <v>0</v>
      </c>
      <c r="N92" s="31">
        <v>1980</v>
      </c>
      <c r="O92" s="19">
        <v>12</v>
      </c>
      <c r="P92" s="19">
        <v>3</v>
      </c>
      <c r="Q92" s="19">
        <v>3</v>
      </c>
      <c r="R92" s="19" t="s">
        <v>322</v>
      </c>
      <c r="S92" s="28">
        <v>17</v>
      </c>
      <c r="T92" s="19" t="s">
        <v>421</v>
      </c>
      <c r="U92" s="19" t="s">
        <v>393</v>
      </c>
      <c r="V92" s="19" t="s">
        <v>422</v>
      </c>
      <c r="W92" s="28">
        <f t="shared" si="6"/>
        <v>93.838383838383834</v>
      </c>
      <c r="X92" s="31">
        <f t="shared" si="7"/>
        <v>23760</v>
      </c>
      <c r="Y92" s="31">
        <f t="shared" si="8"/>
        <v>-162040</v>
      </c>
      <c r="Z92" s="28">
        <f t="shared" si="9"/>
        <v>204</v>
      </c>
      <c r="AA92" s="31">
        <f t="shared" si="10"/>
        <v>910.78431372549016</v>
      </c>
      <c r="AB92" s="19" t="str">
        <f t="shared" si="11"/>
        <v>Study/defer</v>
      </c>
    </row>
    <row r="93" spans="1:28" ht="85.5">
      <c r="A93" s="19" t="s">
        <v>54</v>
      </c>
      <c r="B93" s="19" t="s">
        <v>55</v>
      </c>
      <c r="C93" s="19" t="s">
        <v>56</v>
      </c>
      <c r="D93" s="19" t="s">
        <v>56</v>
      </c>
      <c r="E93" s="19" t="s">
        <v>512</v>
      </c>
      <c r="F93" s="19" t="s">
        <v>424</v>
      </c>
      <c r="G93" s="19" t="s">
        <v>425</v>
      </c>
      <c r="H93" s="31">
        <v>192300</v>
      </c>
      <c r="I93" s="31">
        <v>25000</v>
      </c>
      <c r="J93" s="31">
        <v>167300</v>
      </c>
      <c r="K93" s="19">
        <v>147951</v>
      </c>
      <c r="L93" s="19">
        <v>0</v>
      </c>
      <c r="M93" s="19">
        <v>0</v>
      </c>
      <c r="N93" s="31">
        <v>21453</v>
      </c>
      <c r="O93" s="19">
        <v>20</v>
      </c>
      <c r="P93" s="19">
        <v>2</v>
      </c>
      <c r="Q93" s="19">
        <v>4</v>
      </c>
      <c r="R93" s="19" t="s">
        <v>322</v>
      </c>
      <c r="S93" s="28">
        <v>78.099999999999994</v>
      </c>
      <c r="T93" s="19" t="s">
        <v>426</v>
      </c>
      <c r="U93" s="19" t="s">
        <v>393</v>
      </c>
      <c r="V93" s="19" t="s">
        <v>427</v>
      </c>
      <c r="W93" s="28">
        <f t="shared" si="6"/>
        <v>7.7984431081899963</v>
      </c>
      <c r="X93" s="31">
        <f t="shared" si="7"/>
        <v>429060</v>
      </c>
      <c r="Y93" s="31">
        <f t="shared" si="8"/>
        <v>261760</v>
      </c>
      <c r="Z93" s="28">
        <f t="shared" si="9"/>
        <v>1562</v>
      </c>
      <c r="AA93" s="31">
        <f t="shared" si="10"/>
        <v>107.10627400768246</v>
      </c>
      <c r="AB93" s="19" t="str">
        <f t="shared" si="11"/>
        <v>Study/defer</v>
      </c>
    </row>
    <row r="94" spans="1:28" ht="99.75">
      <c r="A94" s="19" t="s">
        <v>54</v>
      </c>
      <c r="B94" s="19" t="s">
        <v>55</v>
      </c>
      <c r="C94" s="19" t="s">
        <v>56</v>
      </c>
      <c r="D94" s="19" t="s">
        <v>56</v>
      </c>
      <c r="E94" s="19" t="s">
        <v>513</v>
      </c>
      <c r="F94" s="19" t="s">
        <v>429</v>
      </c>
      <c r="G94" s="19" t="s">
        <v>430</v>
      </c>
      <c r="H94" s="31">
        <v>12700</v>
      </c>
      <c r="I94" s="31">
        <v>0</v>
      </c>
      <c r="J94" s="31">
        <v>12700</v>
      </c>
      <c r="K94" s="19">
        <v>0</v>
      </c>
      <c r="L94" s="19">
        <v>0</v>
      </c>
      <c r="M94" s="19">
        <v>0</v>
      </c>
      <c r="N94" s="31">
        <v>3150</v>
      </c>
      <c r="O94" s="19">
        <v>3</v>
      </c>
      <c r="P94" s="19">
        <v>3</v>
      </c>
      <c r="Q94" s="19">
        <v>3</v>
      </c>
      <c r="R94" s="19" t="s">
        <v>335</v>
      </c>
      <c r="S94" s="28">
        <v>0</v>
      </c>
      <c r="T94" s="19" t="s">
        <v>431</v>
      </c>
      <c r="U94" s="19" t="s">
        <v>393</v>
      </c>
      <c r="V94" s="19" t="s">
        <v>432</v>
      </c>
      <c r="W94" s="28">
        <f t="shared" si="6"/>
        <v>4.0317460317460316</v>
      </c>
      <c r="X94" s="31">
        <f t="shared" si="7"/>
        <v>9450</v>
      </c>
      <c r="Y94" s="31">
        <f t="shared" si="8"/>
        <v>-3250</v>
      </c>
      <c r="Z94" s="28">
        <f t="shared" si="9"/>
        <v>0</v>
      </c>
      <c r="AA94" s="31" t="str">
        <f t="shared" si="10"/>
        <v/>
      </c>
      <c r="AB94" s="19" t="str">
        <f t="shared" si="11"/>
        <v>Fund if budget allows</v>
      </c>
    </row>
  </sheetData>
  <mergeCells count="2">
    <mergeCell ref="A1:V1"/>
    <mergeCell ref="A2:V2"/>
  </mergeCells>
  <conditionalFormatting sqref="P5:P94">
    <cfRule type="dataBar" priority="2">
      <dataBar>
        <cfvo type="min"/>
        <cfvo type="max"/>
        <color rgb="FF22C55E"/>
      </dataBar>
    </cfRule>
    <cfRule type="dataBar" priority="4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{26AC0F20-021B-4497-9844-E269FD93A019}</x14:id>
        </ext>
      </extLst>
    </cfRule>
  </conditionalFormatting>
  <conditionalFormatting sqref="Q5:Q94">
    <cfRule type="dataBar" priority="3">
      <dataBar>
        <cfvo type="min"/>
        <cfvo type="max"/>
        <color rgb="FF3B82F6"/>
      </dataBar>
    </cfRule>
    <cfRule type="dataBar" priority="5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{A4494481-82FF-448E-88DF-FC5F62FB5849}</x14:id>
        </ext>
      </extLst>
    </cfRule>
  </conditionalFormatting>
  <conditionalFormatting sqref="W5:W9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type="list" sqref="R5:R94" xr:uid="{8A36727D-4F98-465A-9E60-3C08D07B7601}">
      <formula1>"Low,Medium,High"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AC0F20-021B-4497-9844-E269FD93A019}">
            <x14:dataBar>
              <x14:cfvo type="min"/>
              <x14:cfvo type="max"/>
              <x14:negativeFillColor auto="1"/>
              <x14:axisColor auto="1"/>
            </x14:dataBar>
          </x14:cfRule>
          <xm:sqref>P5:P94</xm:sqref>
        </x14:conditionalFormatting>
        <x14:conditionalFormatting xmlns:xm="http://schemas.microsoft.com/office/excel/2006/main">
          <x14:cfRule type="dataBar" id="{A4494481-82FF-448E-88DF-FC5F62FB5849}">
            <x14:dataBar>
              <x14:cfvo type="min"/>
              <x14:cfvo type="max"/>
              <x14:negativeFillColor auto="1"/>
              <x14:axisColor auto="1"/>
            </x14:dataBar>
          </x14:cfRule>
          <xm:sqref>Q5:Q94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E802-2678-4564-9735-64170AA387DB}">
  <dimension ref="A1:J1"/>
  <sheetViews>
    <sheetView workbookViewId="0">
      <selection activeCell="D18" sqref="D18"/>
    </sheetView>
  </sheetViews>
  <sheetFormatPr defaultRowHeight="14.25"/>
  <cols>
    <col min="1" max="1" width="17" style="5" customWidth="1"/>
    <col min="2" max="2" width="13.140625" style="5" customWidth="1"/>
    <col min="3" max="3" width="21.85546875" style="5" customWidth="1"/>
    <col min="4" max="4" width="20.7109375" style="5" customWidth="1"/>
    <col min="5" max="5" width="15.7109375" style="5" customWidth="1"/>
    <col min="6" max="6" width="25.42578125" style="5" customWidth="1"/>
    <col min="7" max="7" width="24.28515625" style="5" customWidth="1"/>
    <col min="8" max="8" width="28" style="5" customWidth="1"/>
    <col min="9" max="9" width="38.85546875" style="5" customWidth="1"/>
    <col min="10" max="10" width="29" style="5" customWidth="1"/>
    <col min="11" max="11" width="10" style="5" customWidth="1"/>
    <col min="12" max="12" width="38.85546875" style="5" customWidth="1"/>
    <col min="13" max="13" width="9.140625" style="5"/>
    <col min="14" max="14" width="26.140625" style="5" customWidth="1"/>
    <col min="15" max="15" width="16.28515625" style="5" customWidth="1"/>
    <col min="16" max="16" width="21" style="5" customWidth="1"/>
    <col min="17" max="17" width="22.28515625" style="5" customWidth="1"/>
    <col min="18" max="16384" width="9.140625" style="5"/>
  </cols>
  <sheetData>
    <row r="1" spans="1:10">
      <c r="A1" s="5" t="s">
        <v>515</v>
      </c>
      <c r="B1" s="5" t="s">
        <v>516</v>
      </c>
      <c r="C1" s="5" t="s">
        <v>517</v>
      </c>
      <c r="D1" s="5" t="s">
        <v>518</v>
      </c>
      <c r="E1" s="5" t="s">
        <v>519</v>
      </c>
      <c r="F1" s="5" t="s">
        <v>520</v>
      </c>
      <c r="G1" s="5" t="s">
        <v>521</v>
      </c>
      <c r="H1" s="5" t="s">
        <v>522</v>
      </c>
      <c r="I1" s="5" t="s">
        <v>514</v>
      </c>
      <c r="J1" s="5" t="s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C214-E931-44B7-803F-D608D0D4432D}">
  <dimension ref="A1:K1"/>
  <sheetViews>
    <sheetView workbookViewId="0">
      <selection activeCell="T10" sqref="T10"/>
    </sheetView>
  </sheetViews>
  <sheetFormatPr defaultRowHeight="15"/>
  <sheetData>
    <row r="1" spans="1:11">
      <c r="A1" t="s">
        <v>0</v>
      </c>
      <c r="B1" t="s">
        <v>372</v>
      </c>
      <c r="C1" t="s">
        <v>18</v>
      </c>
      <c r="D1" t="s">
        <v>523</v>
      </c>
      <c r="E1" t="s">
        <v>375</v>
      </c>
      <c r="F1" t="s">
        <v>376</v>
      </c>
      <c r="G1" t="s">
        <v>377</v>
      </c>
      <c r="H1" t="s">
        <v>524</v>
      </c>
      <c r="I1" t="s">
        <v>19</v>
      </c>
      <c r="J1" t="s">
        <v>525</v>
      </c>
      <c r="K1" t="s">
        <v>526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DAE5-619E-4E76-9F65-33C34464EA5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7625-3B18-4E75-AA3C-7849787FC604}">
  <dimension ref="A1:F11"/>
  <sheetViews>
    <sheetView workbookViewId="0">
      <selection activeCell="D24" sqref="D24"/>
    </sheetView>
  </sheetViews>
  <sheetFormatPr defaultRowHeight="14.25"/>
  <cols>
    <col min="1" max="1" width="10.85546875" style="5" customWidth="1"/>
    <col min="2" max="2" width="22" style="5" customWidth="1"/>
    <col min="3" max="3" width="32.5703125" style="5" customWidth="1"/>
    <col min="4" max="4" width="21" style="5" customWidth="1"/>
    <col min="5" max="5" width="25" style="5" customWidth="1"/>
    <col min="6" max="6" width="23.7109375" style="5" customWidth="1"/>
    <col min="7" max="16384" width="9.140625" style="5"/>
  </cols>
  <sheetData>
    <row r="1" spans="1:6" ht="30">
      <c r="A1" s="9" t="s">
        <v>0</v>
      </c>
      <c r="B1" s="9" t="s">
        <v>1</v>
      </c>
      <c r="C1" s="9" t="s">
        <v>63</v>
      </c>
      <c r="D1" s="9" t="s">
        <v>74</v>
      </c>
      <c r="E1" s="9" t="s">
        <v>75</v>
      </c>
      <c r="F1" s="9" t="s">
        <v>76</v>
      </c>
    </row>
    <row r="2" spans="1:6">
      <c r="A2" s="5" t="s">
        <v>22</v>
      </c>
      <c r="B2" s="5" t="s">
        <v>23</v>
      </c>
      <c r="C2" s="10">
        <v>57.9</v>
      </c>
      <c r="D2" s="10">
        <v>1131188</v>
      </c>
      <c r="E2" s="10">
        <v>56939</v>
      </c>
      <c r="F2" s="10">
        <v>9553500</v>
      </c>
    </row>
    <row r="3" spans="1:6">
      <c r="A3" s="5" t="s">
        <v>28</v>
      </c>
      <c r="B3" s="5" t="s">
        <v>29</v>
      </c>
      <c r="C3" s="10">
        <v>66.2</v>
      </c>
      <c r="D3" s="10">
        <v>1622016</v>
      </c>
      <c r="E3" s="10">
        <v>90297</v>
      </c>
      <c r="F3" s="10">
        <v>14564000</v>
      </c>
    </row>
    <row r="4" spans="1:6">
      <c r="A4" s="5" t="s">
        <v>31</v>
      </c>
      <c r="B4" s="5" t="s">
        <v>32</v>
      </c>
      <c r="C4" s="10">
        <v>54.3</v>
      </c>
      <c r="D4" s="10">
        <v>980726</v>
      </c>
      <c r="E4" s="10">
        <v>45273</v>
      </c>
      <c r="F4" s="10">
        <v>7873500</v>
      </c>
    </row>
    <row r="5" spans="1:6">
      <c r="A5" s="5" t="s">
        <v>35</v>
      </c>
      <c r="B5" s="5" t="s">
        <v>36</v>
      </c>
      <c r="C5" s="10">
        <v>61.7</v>
      </c>
      <c r="D5" s="10">
        <v>837615</v>
      </c>
      <c r="E5" s="10">
        <v>45461</v>
      </c>
      <c r="F5" s="10">
        <v>7404000</v>
      </c>
    </row>
    <row r="6" spans="1:6">
      <c r="A6" s="5" t="s">
        <v>39</v>
      </c>
      <c r="B6" s="5" t="s">
        <v>40</v>
      </c>
      <c r="C6" s="10">
        <v>48.2</v>
      </c>
      <c r="D6" s="10">
        <v>642365</v>
      </c>
      <c r="E6" s="10">
        <v>25318</v>
      </c>
      <c r="F6" s="10">
        <v>4723600</v>
      </c>
    </row>
    <row r="7" spans="1:6">
      <c r="A7" s="5" t="s">
        <v>42</v>
      </c>
      <c r="B7" s="5" t="s">
        <v>43</v>
      </c>
      <c r="C7" s="10">
        <v>67.7</v>
      </c>
      <c r="D7" s="10">
        <v>1394874</v>
      </c>
      <c r="E7" s="10">
        <v>77652</v>
      </c>
      <c r="F7" s="10">
        <v>12524500</v>
      </c>
    </row>
    <row r="8" spans="1:6">
      <c r="A8" s="5" t="s">
        <v>45</v>
      </c>
      <c r="B8" s="5" t="s">
        <v>46</v>
      </c>
      <c r="C8" s="10">
        <v>51.8</v>
      </c>
      <c r="D8" s="10">
        <v>907942</v>
      </c>
      <c r="E8" s="10">
        <v>38951</v>
      </c>
      <c r="F8" s="10">
        <v>6993000</v>
      </c>
    </row>
    <row r="9" spans="1:6">
      <c r="A9" s="5" t="s">
        <v>49</v>
      </c>
      <c r="B9" s="5" t="s">
        <v>50</v>
      </c>
      <c r="C9" s="10">
        <v>57.5</v>
      </c>
      <c r="D9" s="10">
        <v>760038</v>
      </c>
      <c r="E9" s="10">
        <v>37318</v>
      </c>
      <c r="F9" s="10">
        <v>6325000</v>
      </c>
    </row>
    <row r="10" spans="1:6">
      <c r="A10" s="5" t="s">
        <v>52</v>
      </c>
      <c r="B10" s="5" t="s">
        <v>53</v>
      </c>
      <c r="C10" s="10">
        <v>47</v>
      </c>
      <c r="D10" s="10">
        <v>1169146</v>
      </c>
      <c r="E10" s="10">
        <v>42359</v>
      </c>
      <c r="F10" s="10">
        <v>8225000</v>
      </c>
    </row>
    <row r="11" spans="1:6">
      <c r="A11" s="5" t="s">
        <v>54</v>
      </c>
      <c r="B11" s="5" t="s">
        <v>55</v>
      </c>
      <c r="C11" s="10">
        <v>62.9</v>
      </c>
      <c r="D11" s="10">
        <v>1120844</v>
      </c>
      <c r="E11" s="10">
        <v>62397</v>
      </c>
      <c r="F11" s="10">
        <v>10064000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2093-1E7A-485B-9716-5EEEDF610FE6}">
  <dimension ref="A1:C4"/>
  <sheetViews>
    <sheetView topLeftCell="A12" workbookViewId="0">
      <selection activeCell="C36" sqref="C36"/>
    </sheetView>
  </sheetViews>
  <sheetFormatPr defaultRowHeight="14.25"/>
  <cols>
    <col min="1" max="1" width="40" style="5" customWidth="1"/>
    <col min="2" max="2" width="82.7109375" style="5" customWidth="1"/>
    <col min="3" max="3" width="82.5703125" style="5" customWidth="1"/>
    <col min="4" max="16384" width="9.140625" style="5"/>
  </cols>
  <sheetData>
    <row r="1" spans="1:3" ht="15">
      <c r="A1" s="11" t="s">
        <v>88</v>
      </c>
      <c r="B1" s="11" t="s">
        <v>87</v>
      </c>
      <c r="C1" s="11" t="s">
        <v>86</v>
      </c>
    </row>
    <row r="2" spans="1:3">
      <c r="A2" s="5" t="s">
        <v>85</v>
      </c>
      <c r="B2" s="5" t="s">
        <v>84</v>
      </c>
      <c r="C2" s="5" t="s">
        <v>83</v>
      </c>
    </row>
    <row r="3" spans="1:3">
      <c r="A3" s="5" t="s">
        <v>82</v>
      </c>
      <c r="B3" s="5" t="s">
        <v>81</v>
      </c>
      <c r="C3" s="5" t="s">
        <v>80</v>
      </c>
    </row>
    <row r="4" spans="1:3">
      <c r="A4" s="5" t="s">
        <v>79</v>
      </c>
      <c r="B4" s="5" t="s">
        <v>78</v>
      </c>
      <c r="C4" s="5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01_asset_master</vt:lpstr>
      <vt:lpstr>02_energy_monthly</vt:lpstr>
      <vt:lpstr>02_energy_summary</vt:lpstr>
      <vt:lpstr>03_water_monthly</vt:lpstr>
      <vt:lpstr>04_waste_monthly </vt:lpstr>
      <vt:lpstr>05_emission_factors </vt:lpstr>
      <vt:lpstr>06_benchmark_data </vt:lpstr>
      <vt:lpstr>07_community_acs </vt:lpstr>
      <vt:lpstr>08_climate_risk_fema </vt:lpstr>
      <vt:lpstr>09_ej_cejst </vt:lpstr>
      <vt:lpstr>10_retrofit_options </vt:lpstr>
      <vt:lpstr>11_gresb_readiness</vt:lpstr>
      <vt:lpstr>12_financial_analysis</vt:lpstr>
      <vt:lpstr>13_priority_matrix</vt:lpstr>
      <vt:lpstr>Annual_Check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2026-07-16T15:31:34Z</dcterms:created>
  <dcterms:modified xsi:type="dcterms:W3CDTF">2026-07-16T16:52:27Z</dcterms:modified>
</cp:coreProperties>
</file>