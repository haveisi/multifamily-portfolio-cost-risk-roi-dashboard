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3e16fde91b61c5/D/ESG/multifamily-portfolio-roi-dashboard/data/"/>
    </mc:Choice>
  </mc:AlternateContent>
  <xr:revisionPtr revIDLastSave="1" documentId="8_{6ADD4AA6-A705-417C-82DB-641DFC5220C0}" xr6:coauthVersionLast="47" xr6:coauthVersionMax="47" xr10:uidLastSave="{BBFF7613-4F74-4121-9071-5529B7DD6DDA}"/>
  <bookViews>
    <workbookView xWindow="28680" yWindow="-120" windowWidth="29040" windowHeight="15720" xr2:uid="{1D60DD68-47B0-457B-B4CB-441D34B46F4D}"/>
  </bookViews>
  <sheets>
    <sheet name="22_calc_affordability_screening" sheetId="3" r:id="rId1"/>
    <sheet name="21_input_affordability_context" sheetId="2" r:id="rId2"/>
    <sheet name="Sheet1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1" i="3" l="1"/>
  <c r="V11" i="3" s="1"/>
  <c r="P11" i="3"/>
  <c r="N11" i="3"/>
  <c r="M11" i="3"/>
  <c r="L11" i="3"/>
  <c r="O11" i="3" s="1"/>
  <c r="Q11" i="3" s="1"/>
  <c r="I11" i="3"/>
  <c r="H11" i="3"/>
  <c r="F11" i="3"/>
  <c r="K11" i="3" s="1"/>
  <c r="T11" i="3" s="1"/>
  <c r="E11" i="3"/>
  <c r="G11" i="3" s="1"/>
  <c r="J11" i="3" s="1"/>
  <c r="D11" i="3"/>
  <c r="U11" i="3" s="1"/>
  <c r="C11" i="3"/>
  <c r="B11" i="3"/>
  <c r="P10" i="3"/>
  <c r="N10" i="3"/>
  <c r="M10" i="3"/>
  <c r="O10" i="3" s="1"/>
  <c r="Q10" i="3" s="1"/>
  <c r="L10" i="3"/>
  <c r="I10" i="3"/>
  <c r="K10" i="3" s="1"/>
  <c r="T10" i="3" s="1"/>
  <c r="H10" i="3"/>
  <c r="F10" i="3"/>
  <c r="G10" i="3" s="1"/>
  <c r="J10" i="3" s="1"/>
  <c r="E10" i="3"/>
  <c r="D10" i="3"/>
  <c r="U10" i="3" s="1"/>
  <c r="C10" i="3"/>
  <c r="B10" i="3"/>
  <c r="O9" i="3"/>
  <c r="Q9" i="3" s="1"/>
  <c r="N9" i="3"/>
  <c r="M9" i="3"/>
  <c r="L9" i="3"/>
  <c r="H9" i="3"/>
  <c r="I9" i="3" s="1"/>
  <c r="K9" i="3" s="1"/>
  <c r="T9" i="3" s="1"/>
  <c r="F9" i="3"/>
  <c r="P9" i="3" s="1"/>
  <c r="E9" i="3"/>
  <c r="G9" i="3" s="1"/>
  <c r="D9" i="3"/>
  <c r="R9" i="3" s="1"/>
  <c r="V9" i="3" s="1"/>
  <c r="C9" i="3"/>
  <c r="B9" i="3"/>
  <c r="O8" i="3"/>
  <c r="Q8" i="3" s="1"/>
  <c r="N8" i="3"/>
  <c r="M8" i="3"/>
  <c r="L8" i="3"/>
  <c r="I8" i="3"/>
  <c r="H8" i="3"/>
  <c r="F8" i="3"/>
  <c r="K8" i="3" s="1"/>
  <c r="T8" i="3" s="1"/>
  <c r="E8" i="3"/>
  <c r="G8" i="3" s="1"/>
  <c r="J8" i="3" s="1"/>
  <c r="D8" i="3"/>
  <c r="U8" i="3" s="1"/>
  <c r="C8" i="3"/>
  <c r="B8" i="3"/>
  <c r="U7" i="3"/>
  <c r="R7" i="3"/>
  <c r="V7" i="3" s="1"/>
  <c r="P7" i="3"/>
  <c r="N7" i="3"/>
  <c r="O7" i="3" s="1"/>
  <c r="Q7" i="3" s="1"/>
  <c r="M7" i="3"/>
  <c r="L7" i="3"/>
  <c r="I7" i="3"/>
  <c r="K7" i="3" s="1"/>
  <c r="T7" i="3" s="1"/>
  <c r="H7" i="3"/>
  <c r="F7" i="3"/>
  <c r="E7" i="3"/>
  <c r="G7" i="3" s="1"/>
  <c r="J7" i="3" s="1"/>
  <c r="D7" i="3"/>
  <c r="C7" i="3"/>
  <c r="B7" i="3"/>
  <c r="U6" i="3"/>
  <c r="R6" i="3"/>
  <c r="V6" i="3" s="1"/>
  <c r="P6" i="3"/>
  <c r="N6" i="3"/>
  <c r="M6" i="3"/>
  <c r="L6" i="3"/>
  <c r="O6" i="3" s="1"/>
  <c r="Q6" i="3" s="1"/>
  <c r="I6" i="3"/>
  <c r="K6" i="3" s="1"/>
  <c r="T6" i="3" s="1"/>
  <c r="H6" i="3"/>
  <c r="F6" i="3"/>
  <c r="E6" i="3"/>
  <c r="G6" i="3" s="1"/>
  <c r="D6" i="3"/>
  <c r="C6" i="3"/>
  <c r="B6" i="3"/>
  <c r="M5" i="3"/>
  <c r="N5" i="3" s="1"/>
  <c r="L5" i="3"/>
  <c r="H5" i="3"/>
  <c r="I5" i="3" s="1"/>
  <c r="F5" i="3"/>
  <c r="K5" i="3" s="1"/>
  <c r="T5" i="3" s="1"/>
  <c r="E5" i="3"/>
  <c r="G5" i="3" s="1"/>
  <c r="J5" i="3" s="1"/>
  <c r="D5" i="3"/>
  <c r="U5" i="3" s="1"/>
  <c r="C5" i="3"/>
  <c r="B5" i="3"/>
  <c r="U4" i="3"/>
  <c r="R4" i="3"/>
  <c r="V4" i="3" s="1"/>
  <c r="P4" i="3"/>
  <c r="O4" i="3"/>
  <c r="Q4" i="3" s="1"/>
  <c r="N4" i="3"/>
  <c r="M4" i="3"/>
  <c r="L4" i="3"/>
  <c r="H4" i="3"/>
  <c r="I4" i="3" s="1"/>
  <c r="F4" i="3"/>
  <c r="K4" i="3" s="1"/>
  <c r="T4" i="3" s="1"/>
  <c r="E4" i="3"/>
  <c r="G4" i="3" s="1"/>
  <c r="J4" i="3" s="1"/>
  <c r="D4" i="3"/>
  <c r="C4" i="3"/>
  <c r="B4" i="3"/>
  <c r="U3" i="3"/>
  <c r="N3" i="3"/>
  <c r="M3" i="3"/>
  <c r="L3" i="3"/>
  <c r="O3" i="3" s="1"/>
  <c r="Q3" i="3" s="1"/>
  <c r="H3" i="3"/>
  <c r="I3" i="3" s="1"/>
  <c r="K3" i="3" s="1"/>
  <c r="T3" i="3" s="1"/>
  <c r="F3" i="3"/>
  <c r="P3" i="3" s="1"/>
  <c r="E3" i="3"/>
  <c r="G3" i="3" s="1"/>
  <c r="D3" i="3"/>
  <c r="R3" i="3" s="1"/>
  <c r="V3" i="3" s="1"/>
  <c r="C3" i="3"/>
  <c r="B3" i="3"/>
  <c r="V2" i="3"/>
  <c r="U2" i="3"/>
  <c r="R2" i="3"/>
  <c r="N2" i="3"/>
  <c r="M2" i="3"/>
  <c r="L2" i="3"/>
  <c r="O2" i="3" s="1"/>
  <c r="Q2" i="3" s="1"/>
  <c r="H2" i="3"/>
  <c r="I2" i="3" s="1"/>
  <c r="F2" i="3"/>
  <c r="K2" i="3" s="1"/>
  <c r="T2" i="3" s="1"/>
  <c r="E2" i="3"/>
  <c r="G2" i="3" s="1"/>
  <c r="D2" i="3"/>
  <c r="C2" i="3"/>
  <c r="B2" i="3"/>
  <c r="B11" i="2"/>
  <c r="B10" i="2"/>
  <c r="B9" i="2"/>
  <c r="B8" i="2"/>
  <c r="B7" i="2"/>
  <c r="B6" i="2"/>
  <c r="B5" i="2"/>
  <c r="B4" i="2"/>
  <c r="B3" i="2"/>
  <c r="B2" i="2"/>
  <c r="J6" i="3" l="1"/>
  <c r="J2" i="3"/>
  <c r="J9" i="3"/>
  <c r="S5" i="3"/>
  <c r="S8" i="3"/>
  <c r="W11" i="3"/>
  <c r="S11" i="3"/>
  <c r="W4" i="3"/>
  <c r="S4" i="3"/>
  <c r="W7" i="3"/>
  <c r="S7" i="3"/>
  <c r="S6" i="3"/>
  <c r="W6" i="3"/>
  <c r="W10" i="3"/>
  <c r="S10" i="3"/>
  <c r="J3" i="3"/>
  <c r="P2" i="3"/>
  <c r="O5" i="3"/>
  <c r="Q5" i="3" s="1"/>
  <c r="P5" i="3"/>
  <c r="P8" i="3"/>
  <c r="U9" i="3"/>
  <c r="R5" i="3"/>
  <c r="V5" i="3" s="1"/>
  <c r="R8" i="3"/>
  <c r="V8" i="3" s="1"/>
  <c r="R10" i="3"/>
  <c r="V10" i="3" s="1"/>
  <c r="W2" i="3" l="1"/>
  <c r="S2" i="3"/>
  <c r="X10" i="3"/>
  <c r="X7" i="3"/>
  <c r="X11" i="3"/>
  <c r="W8" i="3"/>
  <c r="W9" i="3"/>
  <c r="S9" i="3"/>
  <c r="W3" i="3"/>
  <c r="S3" i="3"/>
  <c r="X6" i="3"/>
  <c r="X4" i="3"/>
  <c r="W5" i="3"/>
  <c r="AA11" i="3" s="1"/>
  <c r="AA6" i="3" l="1"/>
  <c r="AA7" i="3"/>
  <c r="AA10" i="3"/>
  <c r="AB7" i="3"/>
  <c r="Z7" i="3"/>
  <c r="Y7" i="3"/>
  <c r="AB10" i="3"/>
  <c r="Z10" i="3"/>
  <c r="Y10" i="3"/>
  <c r="AA5" i="3"/>
  <c r="X5" i="3"/>
  <c r="Y4" i="3"/>
  <c r="AB4" i="3"/>
  <c r="Z4" i="3"/>
  <c r="Z6" i="3"/>
  <c r="Y6" i="3"/>
  <c r="AB6" i="3"/>
  <c r="X3" i="3"/>
  <c r="AA3" i="3"/>
  <c r="X9" i="3"/>
  <c r="AA9" i="3"/>
  <c r="AA8" i="3"/>
  <c r="X8" i="3"/>
  <c r="AB11" i="3"/>
  <c r="Z11" i="3"/>
  <c r="Y11" i="3"/>
  <c r="AA4" i="3"/>
  <c r="AA2" i="3"/>
  <c r="X2" i="3"/>
  <c r="AB2" i="3" l="1"/>
  <c r="Z2" i="3"/>
  <c r="Y2" i="3"/>
  <c r="AB5" i="3"/>
  <c r="Z5" i="3"/>
  <c r="Y5" i="3"/>
  <c r="AB8" i="3"/>
  <c r="Z8" i="3"/>
  <c r="Y8" i="3"/>
  <c r="AB3" i="3"/>
  <c r="Z3" i="3"/>
  <c r="Y3" i="3"/>
  <c r="AB9" i="3"/>
  <c r="Z9" i="3"/>
  <c r="Y9" i="3"/>
</calcChain>
</file>

<file path=xl/sharedStrings.xml><?xml version="1.0" encoding="utf-8"?>
<sst xmlns="http://schemas.openxmlformats.org/spreadsheetml/2006/main" count="97" uniqueCount="61">
  <si>
    <t>property_id</t>
  </si>
  <si>
    <t>property_name</t>
  </si>
  <si>
    <t>city</t>
  </si>
  <si>
    <t>county</t>
  </si>
  <si>
    <t>state</t>
  </si>
  <si>
    <t>units</t>
  </si>
  <si>
    <t>affordable_units_pct</t>
  </si>
  <si>
    <t>average_monthly_rent_usd</t>
  </si>
  <si>
    <t>median_household_income_area_usd</t>
  </si>
  <si>
    <t>area_median_income_ami_usd</t>
  </si>
  <si>
    <t>estimated_tenant_paid_utilities_usd_month</t>
  </si>
  <si>
    <t>owner_paid_utilities_flag</t>
  </si>
  <si>
    <t>tenant_paid_utilities_flag</t>
  </si>
  <si>
    <t>subsidized_property_flag</t>
  </si>
  <si>
    <t>rent_restricted_flag</t>
  </si>
  <si>
    <t>voucher_acceptance_flag</t>
  </si>
  <si>
    <t>lihtc_or_affordable_program_flag</t>
  </si>
  <si>
    <t>retrofit_cost_pass_through_risk</t>
  </si>
  <si>
    <t>notes</t>
  </si>
  <si>
    <t>WI-MF-01</t>
  </si>
  <si>
    <t>Madison</t>
  </si>
  <si>
    <t>Dane</t>
  </si>
  <si>
    <t>WI</t>
  </si>
  <si>
    <t>WI-MF-02</t>
  </si>
  <si>
    <t>Milwaukee</t>
  </si>
  <si>
    <t>WI-MF-03</t>
  </si>
  <si>
    <t>Green Bay</t>
  </si>
  <si>
    <t>Brown</t>
  </si>
  <si>
    <t>WI-MF-04</t>
  </si>
  <si>
    <t>Wausau</t>
  </si>
  <si>
    <t>Marathon</t>
  </si>
  <si>
    <t>WI-MF-05</t>
  </si>
  <si>
    <t>Eau Claire</t>
  </si>
  <si>
    <t>WI-MF-06</t>
  </si>
  <si>
    <t>Racine</t>
  </si>
  <si>
    <t>WI-MF-07</t>
  </si>
  <si>
    <t>Appleton</t>
  </si>
  <si>
    <t>Outagamie</t>
  </si>
  <si>
    <t>WI-MF-08</t>
  </si>
  <si>
    <t>La Crosse</t>
  </si>
  <si>
    <t>WI-MF-09</t>
  </si>
  <si>
    <t>WI-MF-10</t>
  </si>
  <si>
    <t>Kenosha</t>
  </si>
  <si>
    <t>estimated_total_housing_cost_usd_month</t>
  </si>
  <si>
    <t>monthly_income_estimate_usd</t>
  </si>
  <si>
    <t>housing_cost_burden_pct</t>
  </si>
  <si>
    <t>utility_burden_pct</t>
  </si>
  <si>
    <t>energy_cost_per_unit_owner_usd</t>
  </si>
  <si>
    <t>water_cost_per_unit_owner_usd</t>
  </si>
  <si>
    <t>waste_cost_per_unit_owner_usd</t>
  </si>
  <si>
    <t>total_property_utility_cost_per_unit_usd</t>
  </si>
  <si>
    <t>affordability_burden_flag</t>
  </si>
  <si>
    <t>utility_burden_flag</t>
  </si>
  <si>
    <t>housing_affordability_profile</t>
  </si>
  <si>
    <t>cost_pass_through_flag</t>
  </si>
  <si>
    <t>affordability_pressure_score</t>
  </si>
  <si>
    <t>affordability_pressure_flag</t>
  </si>
  <si>
    <t>primary_affordability_issue</t>
  </si>
  <si>
    <t>recommended_affordability_action</t>
  </si>
  <si>
    <t>affordability_rank</t>
  </si>
  <si>
    <t>affordability_action_category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</si>
</sst>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11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1" applyFont="1" applyAlignment="1">
      <alignment vertical="center" wrapText="1"/>
    </xf>
    <xf numFmtId="0" fontId="3" fillId="0" borderId="0" xfId="2"/>
    <xf numFmtId="0" fontId="4" fillId="3" borderId="1" xfId="2" applyFont="1" applyFill="1" applyBorder="1" applyAlignment="1">
      <alignment wrapText="1"/>
    </xf>
    <xf numFmtId="0" fontId="4" fillId="3" borderId="2" xfId="2" applyFont="1" applyFill="1" applyBorder="1" applyAlignment="1">
      <alignment vertical="center" wrapText="1"/>
    </xf>
    <xf numFmtId="0" fontId="4" fillId="3" borderId="2" xfId="2" applyFont="1" applyFill="1" applyBorder="1" applyAlignment="1">
      <alignment vertical="top" wrapText="1"/>
    </xf>
    <xf numFmtId="0" fontId="4" fillId="3" borderId="2" xfId="2" applyFont="1" applyFill="1" applyBorder="1" applyAlignment="1">
      <alignment horizontal="center" vertical="top"/>
    </xf>
    <xf numFmtId="3" fontId="3" fillId="0" borderId="0" xfId="2" applyNumberFormat="1" applyAlignment="1">
      <alignment horizontal="right" vertical="center" wrapText="1"/>
    </xf>
    <xf numFmtId="0" fontId="3" fillId="0" borderId="0" xfId="2" applyAlignment="1">
      <alignment horizontal="right" vertical="center" wrapText="1"/>
    </xf>
    <xf numFmtId="0" fontId="4" fillId="0" borderId="1" xfId="2" applyFont="1" applyBorder="1" applyAlignment="1">
      <alignment wrapText="1"/>
    </xf>
    <xf numFmtId="0" fontId="4" fillId="0" borderId="2" xfId="2" applyFont="1" applyBorder="1" applyAlignment="1">
      <alignment vertical="top" wrapText="1"/>
    </xf>
    <xf numFmtId="0" fontId="3" fillId="0" borderId="0" xfId="2" applyAlignment="1">
      <alignment horizontal="center"/>
    </xf>
    <xf numFmtId="0" fontId="1" fillId="2" borderId="0" xfId="1" applyAlignment="1">
      <alignment vertical="top" wrapText="1"/>
    </xf>
    <xf numFmtId="9" fontId="4" fillId="3" borderId="2" xfId="3" applyFont="1" applyFill="1" applyBorder="1" applyAlignment="1">
      <alignment vertical="top" wrapText="1"/>
    </xf>
    <xf numFmtId="3" fontId="3" fillId="0" borderId="0" xfId="2" applyNumberFormat="1"/>
    <xf numFmtId="2" fontId="3" fillId="0" borderId="0" xfId="2" applyNumberFormat="1" applyAlignment="1">
      <alignment horizontal="center"/>
    </xf>
    <xf numFmtId="9" fontId="0" fillId="0" borderId="0" xfId="3" applyFont="1" applyAlignment="1">
      <alignment horizontal="right" vertical="center" wrapText="1"/>
    </xf>
    <xf numFmtId="9" fontId="0" fillId="0" borderId="0" xfId="3" applyFont="1"/>
    <xf numFmtId="2" fontId="3" fillId="0" borderId="0" xfId="2" applyNumberFormat="1"/>
    <xf numFmtId="164" fontId="3" fillId="0" borderId="0" xfId="2" applyNumberFormat="1"/>
    <xf numFmtId="0" fontId="3" fillId="0" borderId="0" xfId="2" applyAlignment="1">
      <alignment wrapText="1"/>
    </xf>
    <xf numFmtId="1" fontId="3" fillId="0" borderId="0" xfId="2" applyNumberFormat="1"/>
    <xf numFmtId="0" fontId="3" fillId="0" borderId="0" xfId="2" applyAlignment="1">
      <alignment vertical="top" wrapText="1"/>
    </xf>
    <xf numFmtId="0" fontId="3" fillId="0" borderId="0" xfId="2" applyAlignment="1">
      <alignment vertical="center" wrapText="1"/>
    </xf>
  </cellXfs>
  <cellStyles count="4">
    <cellStyle name="Good" xfId="1" builtinId="26"/>
    <cellStyle name="Normal" xfId="0" builtinId="0"/>
    <cellStyle name="Normal 2" xfId="2" xr:uid="{29FEC1B1-3052-409A-A786-6541DC4536DC}"/>
    <cellStyle name="Percent 2" xfId="3" xr:uid="{E5FF2CC3-3131-43E6-BD72-1BD3B370A3A0}"/>
  </cellStyles>
  <dxfs count="28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" formatCode="0"/>
    </dxf>
    <dxf>
      <alignment horizontal="general" vertical="bottom" textRotation="0" wrapText="1" indent="0" justifyLastLine="0" shrinkToFit="0" readingOrder="0"/>
    </dxf>
    <dxf>
      <numFmt numFmtId="2" formatCode="0.00"/>
    </dxf>
    <dxf>
      <numFmt numFmtId="164" formatCode="0.0"/>
    </dxf>
    <dxf>
      <numFmt numFmtId="164" formatCode="0.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right" vertical="center" textRotation="0" wrapText="1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numFmt numFmtId="3" formatCode="#,##0"/>
    </dxf>
    <dxf>
      <alignment horizontal="right" vertical="center" textRotation="0" wrapText="1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23e16fde91b61c5/D/ESG/multifamily-portfolio-roi-dashboard/data/multifamily_portfolio_model.xlsx" TargetMode="External"/><Relationship Id="rId1" Type="http://schemas.openxmlformats.org/officeDocument/2006/relationships/externalLinkPath" Target="multifamily_portfolio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_input_asset_master"/>
      <sheetName val="02_input_energy_monthly"/>
      <sheetName val="11_calc_energy_summary"/>
      <sheetName val="03_input_water_monthly"/>
      <sheetName val="12_calc_water_summary"/>
      <sheetName val="04_input_waste_monthly"/>
      <sheetName val="13_calc_waste_summary"/>
      <sheetName val="05_input_emission_factors"/>
      <sheetName val="14_calc_emissions_summary"/>
      <sheetName val="06_input_benchmark_data"/>
      <sheetName val="15_calc_integrated_priority"/>
      <sheetName val="18_output_executive_summary"/>
      <sheetName val="07_input_community_acs"/>
      <sheetName val="08_input_climate_risk_fema"/>
      <sheetName val="09_input_ej_cejst"/>
      <sheetName val="10_input_retrofit_options"/>
      <sheetName val="16_calc_retrofit_finance"/>
      <sheetName val="17_output_investment_summary"/>
      <sheetName val="19_output_gresb_readiness"/>
      <sheetName val="20_output_dashboard_plan"/>
      <sheetName val="21_input_affordability_context"/>
      <sheetName val="22_calc_affordability_screening"/>
    </sheetNames>
    <sheetDataSet>
      <sheetData sheetId="0">
        <row r="1">
          <cell r="A1" t="str">
            <v>property_id</v>
          </cell>
          <cell r="B1" t="str">
            <v>property_name</v>
          </cell>
          <cell r="I1" t="str">
            <v>units</v>
          </cell>
          <cell r="J1" t="str">
            <v>occupancy_rate</v>
          </cell>
        </row>
        <row r="2">
          <cell r="A2" t="str">
            <v>WI-MF-01</v>
          </cell>
          <cell r="B2" t="str">
            <v>Riverbend Apartments</v>
          </cell>
          <cell r="I2">
            <v>180</v>
          </cell>
          <cell r="J2">
            <v>0.94</v>
          </cell>
        </row>
        <row r="3">
          <cell r="A3" t="str">
            <v>WI-MF-02</v>
          </cell>
          <cell r="B3" t="str">
            <v>Lakeview Terrace</v>
          </cell>
          <cell r="I3">
            <v>240</v>
          </cell>
          <cell r="J3">
            <v>0.91</v>
          </cell>
        </row>
        <row r="4">
          <cell r="A4" t="str">
            <v>WI-MF-03</v>
          </cell>
          <cell r="B4" t="str">
            <v>Northside Commons</v>
          </cell>
          <cell r="I4">
            <v>160</v>
          </cell>
          <cell r="J4">
            <v>0.96</v>
          </cell>
        </row>
        <row r="5">
          <cell r="A5" t="str">
            <v>WI-MF-04</v>
          </cell>
          <cell r="B5" t="str">
            <v>Badger Ridge Homes</v>
          </cell>
          <cell r="I5">
            <v>130</v>
          </cell>
          <cell r="J5">
            <v>0.93</v>
          </cell>
        </row>
        <row r="6">
          <cell r="A6" t="str">
            <v>WI-MF-05</v>
          </cell>
          <cell r="B6" t="str">
            <v>Oak Street Lofts</v>
          </cell>
          <cell r="I6">
            <v>105</v>
          </cell>
          <cell r="J6">
            <v>0.97</v>
          </cell>
        </row>
        <row r="7">
          <cell r="A7" t="str">
            <v>WI-MF-06</v>
          </cell>
          <cell r="B7" t="str">
            <v>South Park Apartments</v>
          </cell>
          <cell r="I7">
            <v>210</v>
          </cell>
          <cell r="J7">
            <v>0.89</v>
          </cell>
        </row>
        <row r="8">
          <cell r="A8" t="str">
            <v>WI-MF-07</v>
          </cell>
          <cell r="B8" t="str">
            <v>Fox River Flats</v>
          </cell>
          <cell r="I8">
            <v>150</v>
          </cell>
          <cell r="J8">
            <v>0.95</v>
          </cell>
        </row>
        <row r="9">
          <cell r="A9" t="str">
            <v>WI-MF-08</v>
          </cell>
          <cell r="B9" t="str">
            <v>Prairie View Residences</v>
          </cell>
          <cell r="I9">
            <v>120</v>
          </cell>
          <cell r="J9">
            <v>0.92</v>
          </cell>
        </row>
        <row r="10">
          <cell r="A10" t="str">
            <v>WI-MF-09</v>
          </cell>
          <cell r="B10" t="str">
            <v>Capitol Square Homes</v>
          </cell>
          <cell r="I10">
            <v>190</v>
          </cell>
          <cell r="J10">
            <v>0.98</v>
          </cell>
        </row>
        <row r="11">
          <cell r="A11" t="str">
            <v>WI-MF-10</v>
          </cell>
          <cell r="B11" t="str">
            <v>Harbor Point Apartments</v>
          </cell>
          <cell r="I11">
            <v>175</v>
          </cell>
          <cell r="J11">
            <v>0.9</v>
          </cell>
        </row>
      </sheetData>
      <sheetData sheetId="1"/>
      <sheetData sheetId="2">
        <row r="1">
          <cell r="A1" t="str">
            <v>property_id</v>
          </cell>
          <cell r="Q1" t="str">
            <v>energy_cost_per_sqft</v>
          </cell>
        </row>
        <row r="2">
          <cell r="A2" t="str">
            <v>WI-MF-01</v>
          </cell>
          <cell r="Q2">
            <v>1.373667454545455</v>
          </cell>
        </row>
        <row r="3">
          <cell r="A3" t="str">
            <v>WI-MF-02</v>
          </cell>
          <cell r="Q3">
            <v>1.5205452727272728</v>
          </cell>
        </row>
        <row r="4">
          <cell r="A4" t="str">
            <v>WI-MF-03</v>
          </cell>
          <cell r="Q4">
            <v>1.3241534482758623</v>
          </cell>
        </row>
        <row r="5">
          <cell r="A5" t="str">
            <v>WI-MF-04</v>
          </cell>
          <cell r="Q5">
            <v>1.4288463333333332</v>
          </cell>
        </row>
        <row r="6">
          <cell r="A6" t="str">
            <v>WI-MF-05</v>
          </cell>
          <cell r="Q6">
            <v>1.2346178571428572</v>
          </cell>
        </row>
        <row r="7">
          <cell r="A7" t="str">
            <v>WI-MF-06</v>
          </cell>
          <cell r="Q7">
            <v>1.5550016756756757</v>
          </cell>
        </row>
        <row r="8">
          <cell r="A8" t="str">
            <v>WI-MF-07</v>
          </cell>
          <cell r="Q8">
            <v>1.2925763703703705</v>
          </cell>
        </row>
        <row r="9">
          <cell r="A9" t="str">
            <v>WI-MF-08</v>
          </cell>
          <cell r="Q9">
            <v>1.3750391818181817</v>
          </cell>
        </row>
        <row r="10">
          <cell r="A10" t="str">
            <v>WI-MF-09</v>
          </cell>
          <cell r="Q10">
            <v>1.2349711428571428</v>
          </cell>
        </row>
        <row r="11">
          <cell r="A11" t="str">
            <v>WI-MF-10</v>
          </cell>
          <cell r="Q11">
            <v>1.4447578125</v>
          </cell>
        </row>
      </sheetData>
      <sheetData sheetId="3"/>
      <sheetData sheetId="4">
        <row r="1">
          <cell r="A1" t="str">
            <v>property_id</v>
          </cell>
          <cell r="K1" t="str">
            <v>water_cost_per_unit</v>
          </cell>
        </row>
        <row r="2">
          <cell r="A2" t="str">
            <v>WI-MF-01</v>
          </cell>
          <cell r="K2">
            <v>626.09011111111124</v>
          </cell>
        </row>
        <row r="3">
          <cell r="A3" t="str">
            <v>WI-MF-02</v>
          </cell>
          <cell r="K3">
            <v>805.05616666666651</v>
          </cell>
        </row>
        <row r="4">
          <cell r="A4" t="str">
            <v>WI-MF-03</v>
          </cell>
          <cell r="K4">
            <v>573.74150000000009</v>
          </cell>
        </row>
        <row r="5">
          <cell r="A5" t="str">
            <v>WI-MF-04</v>
          </cell>
          <cell r="K5">
            <v>604.94399999999996</v>
          </cell>
        </row>
        <row r="6">
          <cell r="A6" t="str">
            <v>WI-MF-05</v>
          </cell>
          <cell r="K6">
            <v>484.29847619047621</v>
          </cell>
        </row>
        <row r="7">
          <cell r="A7" t="str">
            <v>WI-MF-06</v>
          </cell>
          <cell r="K7">
            <v>766.91895238095242</v>
          </cell>
        </row>
        <row r="8">
          <cell r="A8" t="str">
            <v>WI-MF-07</v>
          </cell>
          <cell r="K8">
            <v>507.27839999999998</v>
          </cell>
        </row>
        <row r="9">
          <cell r="A9" t="str">
            <v>WI-MF-08</v>
          </cell>
          <cell r="K9">
            <v>555.49183333333326</v>
          </cell>
        </row>
        <row r="10">
          <cell r="A10" t="str">
            <v>WI-MF-09</v>
          </cell>
          <cell r="K10">
            <v>490.84989473684203</v>
          </cell>
        </row>
        <row r="11">
          <cell r="A11" t="str">
            <v>WI-MF-10</v>
          </cell>
          <cell r="K11">
            <v>738.37725714285705</v>
          </cell>
        </row>
      </sheetData>
      <sheetData sheetId="5"/>
      <sheetData sheetId="6">
        <row r="1">
          <cell r="A1" t="str">
            <v>property_id</v>
          </cell>
          <cell r="N1" t="str">
            <v>waste_cost_per_unit</v>
          </cell>
        </row>
        <row r="2">
          <cell r="A2" t="str">
            <v>WI-MF-01</v>
          </cell>
          <cell r="N2">
            <v>134.97222222222223</v>
          </cell>
        </row>
        <row r="3">
          <cell r="A3" t="str">
            <v>WI-MF-02</v>
          </cell>
          <cell r="N3">
            <v>133.77916666666667</v>
          </cell>
        </row>
        <row r="4">
          <cell r="A4" t="str">
            <v>WI-MF-03</v>
          </cell>
          <cell r="N4">
            <v>136.46250000000001</v>
          </cell>
        </row>
        <row r="5">
          <cell r="A5" t="str">
            <v>WI-MF-04</v>
          </cell>
          <cell r="N5">
            <v>141.99230769230769</v>
          </cell>
        </row>
        <row r="6">
          <cell r="A6" t="str">
            <v>WI-MF-05</v>
          </cell>
          <cell r="N6">
            <v>142.00952380952381</v>
          </cell>
        </row>
        <row r="7">
          <cell r="A7" t="str">
            <v>WI-MF-06</v>
          </cell>
          <cell r="N7">
            <v>137.86666666666667</v>
          </cell>
        </row>
        <row r="8">
          <cell r="A8" t="str">
            <v>WI-MF-07</v>
          </cell>
          <cell r="N8">
            <v>136.01333333333332</v>
          </cell>
        </row>
        <row r="9">
          <cell r="A9" t="str">
            <v>WI-MF-08</v>
          </cell>
          <cell r="N9">
            <v>131.26666666666668</v>
          </cell>
        </row>
        <row r="10">
          <cell r="A10" t="str">
            <v>WI-MF-09</v>
          </cell>
          <cell r="N10">
            <v>138.30526315789473</v>
          </cell>
        </row>
        <row r="11">
          <cell r="A11" t="str">
            <v>WI-MF-10</v>
          </cell>
          <cell r="N11">
            <v>135.61142857142858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 t="str">
            <v>property_id</v>
          </cell>
          <cell r="H1" t="str">
            <v>average_monthly_rent_usd</v>
          </cell>
          <cell r="I1" t="str">
            <v>median_household_income_area_usd</v>
          </cell>
          <cell r="K1" t="str">
            <v>estimated_tenant_paid_utilities_usd_month</v>
          </cell>
        </row>
        <row r="2">
          <cell r="A2" t="str">
            <v>WI-MF-01</v>
          </cell>
          <cell r="H2">
            <v>1450</v>
          </cell>
          <cell r="I2">
            <v>76000</v>
          </cell>
          <cell r="K2">
            <v>120</v>
          </cell>
        </row>
        <row r="3">
          <cell r="A3" t="str">
            <v>WI-MF-02</v>
          </cell>
          <cell r="H3">
            <v>1050</v>
          </cell>
          <cell r="I3">
            <v>47000</v>
          </cell>
          <cell r="K3">
            <v>150</v>
          </cell>
        </row>
        <row r="4">
          <cell r="A4" t="str">
            <v>WI-MF-03</v>
          </cell>
          <cell r="H4">
            <v>1350</v>
          </cell>
          <cell r="I4">
            <v>62000</v>
          </cell>
          <cell r="K4">
            <v>125</v>
          </cell>
        </row>
        <row r="5">
          <cell r="A5" t="str">
            <v>WI-MF-04</v>
          </cell>
          <cell r="H5">
            <v>1150</v>
          </cell>
          <cell r="I5">
            <v>56000</v>
          </cell>
          <cell r="K5">
            <v>135</v>
          </cell>
        </row>
        <row r="6">
          <cell r="A6" t="str">
            <v>WI-MF-05</v>
          </cell>
          <cell r="H6">
            <v>1600</v>
          </cell>
          <cell r="I6">
            <v>69000</v>
          </cell>
          <cell r="K6">
            <v>110</v>
          </cell>
        </row>
        <row r="7">
          <cell r="A7" t="str">
            <v>WI-MF-06</v>
          </cell>
          <cell r="H7">
            <v>1025</v>
          </cell>
          <cell r="I7">
            <v>43000</v>
          </cell>
          <cell r="K7">
            <v>155</v>
          </cell>
        </row>
        <row r="8">
          <cell r="A8" t="str">
            <v>WI-MF-07</v>
          </cell>
          <cell r="H8">
            <v>1400</v>
          </cell>
          <cell r="I8">
            <v>65000</v>
          </cell>
          <cell r="K8">
            <v>120</v>
          </cell>
        </row>
        <row r="9">
          <cell r="A9" t="str">
            <v>WI-MF-08</v>
          </cell>
          <cell r="H9">
            <v>1200</v>
          </cell>
          <cell r="I9">
            <v>54000</v>
          </cell>
          <cell r="K9">
            <v>130</v>
          </cell>
        </row>
        <row r="10">
          <cell r="A10" t="str">
            <v>WI-MF-09</v>
          </cell>
          <cell r="H10">
            <v>1750</v>
          </cell>
          <cell r="I10">
            <v>78000</v>
          </cell>
          <cell r="K10">
            <v>105</v>
          </cell>
        </row>
        <row r="11">
          <cell r="A11" t="str">
            <v>WI-MF-10</v>
          </cell>
          <cell r="H11">
            <v>1100</v>
          </cell>
          <cell r="I11">
            <v>50000</v>
          </cell>
          <cell r="K11">
            <v>145</v>
          </cell>
        </row>
      </sheetData>
      <sheetData sheetId="2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8E1988-4271-4EB8-9051-BEFC22C2F51D}" name="tbl_affordability_priority" displayName="tbl_affordability_priority" ref="A1:AB11" totalsRowShown="0" headerRowDxfId="27" dataDxfId="26" headerRowCellStyle="Good">
  <autoFilter ref="A1:AB11" xr:uid="{B9D7AF6F-E10E-4209-9234-1DAA73D78D36}"/>
  <sortState xmlns:xlrd2="http://schemas.microsoft.com/office/spreadsheetml/2017/richdata2" ref="A2:AB11">
    <sortCondition ref="AA1:AA11"/>
  </sortState>
  <tableColumns count="28">
    <tableColumn id="1" xr3:uid="{6DBF8623-A5E5-4B2E-BD26-9E8903EBD403}" name="property_id" dataDxfId="25"/>
    <tableColumn id="2" xr3:uid="{88A7B36C-E255-4571-98CD-0AE96AE55F3F}" name="property_name" dataDxfId="24">
      <calculatedColumnFormula>_xlfn.XLOOKUP(A2,'[1]01_input_asset_master'!A:A,'[1]01_input_asset_master'!B:B,"Not found")</calculatedColumnFormula>
    </tableColumn>
    <tableColumn id="3" xr3:uid="{1A2FBCAC-90F7-42FD-BF6E-BEB94C85CD5E}" name="units" dataDxfId="23">
      <calculatedColumnFormula>_xlfn.XLOOKUP(A2,'[1]01_input_asset_master'!A:A,'[1]01_input_asset_master'!I:I,"Not found")</calculatedColumnFormula>
    </tableColumn>
    <tableColumn id="4" xr3:uid="{48847E4C-ACC6-4F3B-B842-7B2318AFEF60}" name="affordable_units_pct" dataDxfId="22">
      <calculatedColumnFormula>_xlfn.XLOOKUP(A2,'[1]01_input_asset_master'!A:A,'[1]01_input_asset_master'!J:J,"Not found")</calculatedColumnFormula>
    </tableColumn>
    <tableColumn id="5" xr3:uid="{9C36456B-D107-4869-8FB8-30B5574C302B}" name="average_monthly_rent_usd" dataDxfId="21">
      <calculatedColumnFormula>_xlfn.XLOOKUP(A2,'[1]21_input_affordability_context'!A:A,'[1]21_input_affordability_context'!H:H,"Not found")</calculatedColumnFormula>
    </tableColumn>
    <tableColumn id="6" xr3:uid="{C7EB6840-16ED-4F0F-9D74-AF4FF5CDF831}" name="estimated_tenant_paid_utilities_usd_month" dataDxfId="20">
      <calculatedColumnFormula>_xlfn.XLOOKUP(A2,'[1]21_input_affordability_context'!A:A,'[1]21_input_affordability_context'!K:K,"Not found")</calculatedColumnFormula>
    </tableColumn>
    <tableColumn id="7" xr3:uid="{14CF6C26-FF51-4142-B757-C4D10C6DF4F8}" name="estimated_total_housing_cost_usd_month" dataDxfId="19">
      <calculatedColumnFormula>E2+F2</calculatedColumnFormula>
    </tableColumn>
    <tableColumn id="8" xr3:uid="{D3BF3FB3-F7BE-4F48-A562-0536AC3C5990}" name="median_household_income_area_usd" dataDxfId="18">
      <calculatedColumnFormula>_xlfn.XLOOKUP(A2,'[1]21_input_affordability_context'!A:A,'[1]21_input_affordability_context'!I:I,"Not found")</calculatedColumnFormula>
    </tableColumn>
    <tableColumn id="9" xr3:uid="{FDF60D87-2C35-4DC9-B5E4-7FA63A9FA3C9}" name="monthly_income_estimate_usd" dataDxfId="17">
      <calculatedColumnFormula>H2/12</calculatedColumnFormula>
    </tableColumn>
    <tableColumn id="10" xr3:uid="{5933F87F-E967-4332-AD58-F73F59C696F3}" name="housing_cost_burden_pct" dataDxfId="16">
      <calculatedColumnFormula>G2/I2</calculatedColumnFormula>
    </tableColumn>
    <tableColumn id="11" xr3:uid="{AA98A6F7-FFDF-4335-BE3A-6A799738FCE3}" name="utility_burden_pct" dataDxfId="15">
      <calculatedColumnFormula>F2/I2</calculatedColumnFormula>
    </tableColumn>
    <tableColumn id="12" xr3:uid="{E9944B16-8E3E-45B6-8016-E8A736BD4819}" name="energy_cost_per_unit_owner_usd" dataDxfId="14">
      <calculatedColumnFormula>_xlfn.XLOOKUP(A2,'[1]11_calc_energy_summary'!A:A,'[1]11_calc_energy_summary'!Q:Q,"Not found")</calculatedColumnFormula>
    </tableColumn>
    <tableColumn id="13" xr3:uid="{2FBCDA50-D520-4C29-9060-A0B969F75545}" name="water_cost_per_unit_owner_usd" dataDxfId="13">
      <calculatedColumnFormula>_xlfn.XLOOKUP(A2,'[1]12_calc_water_summary'!A:A,'[1]12_calc_water_summary'!K:K,"Not found")</calculatedColumnFormula>
    </tableColumn>
    <tableColumn id="14" xr3:uid="{B4C700BE-991B-4445-8745-4CDC1354D729}" name="waste_cost_per_unit_owner_usd" dataDxfId="12">
      <calculatedColumnFormula>_xlfn.XLOOKUP(A2,'[1]13_calc_waste_summary'!A:A,'[1]13_calc_waste_summary'!N:N,"Not found")</calculatedColumnFormula>
    </tableColumn>
    <tableColumn id="15" xr3:uid="{6C6F3829-B3A9-4F7B-8250-A4791E9C86DB}" name="total_property_utility_cost_per_unit_usd" dataDxfId="11">
      <calculatedColumnFormula>L2+M2+N2</calculatedColumnFormula>
    </tableColumn>
    <tableColumn id="16" xr3:uid="{73A4B5A8-8163-4BA0-9C66-CE527701F244}" name="tenant_paid_utilities_flag">
      <calculatedColumnFormula>IF(F2&gt;0,"Tenant Utility Exposure","No Tenant Utility Exposure")</calculatedColumnFormula>
    </tableColumn>
    <tableColumn id="17" xr3:uid="{47CE98D4-B569-4697-ACE8-D2ECBAD86DA0}" name="owner_paid_utilities_flag" dataDxfId="10">
      <calculatedColumnFormula>IF(O2&gt;0,"Owner Utility Exposure","No Owner Utility Exposure")</calculatedColumnFormula>
    </tableColumn>
    <tableColumn id="18" xr3:uid="{7CF3E23E-8A8B-43D9-8FDB-B9DD9FA70857}" name="retrofit_cost_pass_through_risk" dataDxfId="9">
      <calculatedColumnFormula>IF(D2&gt;=0.5,"Low",IF(D2&gt;=0.25,"Medium","High"))</calculatedColumnFormula>
    </tableColumn>
    <tableColumn id="19" xr3:uid="{43F3D2D9-EEA4-4A2C-A874-D00C5F189880}" name="affordability_burden_flag" dataDxfId="8">
      <calculatedColumnFormula>IF(J2&gt;=0.5,"Severe Burden Risk",IF(J2&gt;=0.3,"Burden Risk","Lower Burden Risk"))</calculatedColumnFormula>
    </tableColumn>
    <tableColumn id="20" xr3:uid="{056EB1B4-D993-4A65-A9E8-6E80496FBEBF}" name="utility_burden_flag" dataDxfId="7">
      <calculatedColumnFormula>IF(K2&gt;=0.06,"High Utility Burden",IF(K2&gt;=0.03,"Moderate Utility Burden","Lower Utility Burden"))</calculatedColumnFormula>
    </tableColumn>
    <tableColumn id="21" xr3:uid="{8A56B98B-09AE-4D91-89D6-1B315783C32A}" name="housing_affordability_profile" dataDxfId="6">
      <calculatedColumnFormula>IF(D2&gt;=0.5,"Affordable-Heavy Property",IF(D2&gt;=0.2,"Mixed-Income Property","Mostly Market-Rate Property"))</calculatedColumnFormula>
    </tableColumn>
    <tableColumn id="22" xr3:uid="{82229179-F5DF-4A4F-9808-596E032424CA}" name="cost_pass_through_flag" dataDxfId="5">
      <calculatedColumnFormula>IF(R2="High","High Pass-Through Risk",IF(R2="Medium","Moderate Pass-Through Risk","Lower Pass-Through Risk"))</calculatedColumnFormula>
    </tableColumn>
    <tableColumn id="23" xr3:uid="{71D1FB8C-9305-4755-9113-00D7F34E50A8}" name="affordability_pressure_score" dataDxfId="4">
      <calculatedColumnFormula>IF(J2&gt;=0.5,3,IF(J2&gt;=0.3,2,1))
+IF(K2&gt;=0.06,3,IF(K2&gt;=0.03,2,1))
+IF(D2&gt;=0.5,3,IF(D2&gt;=0.25,2,1))
+IF(R2="High",2,IF(R2="Medium",1,0))
+IF(O2&gt;AVERAGE($O$2:$O$11),1,0)</calculatedColumnFormula>
    </tableColumn>
    <tableColumn id="24" xr3:uid="{E5187206-95C5-4970-9E0F-F551B1A6DFB1}" name="affordability_pressure_flag" dataDxfId="3">
      <calculatedColumnFormula>IF(W2&gt;=10,"High Affordability Pressure",IF(W2&gt;=7,"Moderate Affordability Pressure","Lower Affordability Pressure"))</calculatedColumnFormula>
    </tableColumn>
    <tableColumn id="25" xr3:uid="{67F99881-B79E-4395-A3E2-8C28F907A251}" name="primary_affordability_issue" dataDxfId="2">
      <calculatedColumnFormula>IF(X2="Lower Affordability Pressure","Monitor",
IF(AND(J2&gt;=0.5,K2&gt;=0.06),"Severe housing + utility burden",
IF(J2&gt;=0.5,"Severe housing burden",
IF(K2&gt;=0.06,"High utility burden",
IF(O2&gt;AVERAGE($O$2:$O$11),"High owner utility cost pressure",
"Monitor")))))</calculatedColumnFormula>
    </tableColumn>
    <tableColumn id="26" xr3:uid="{06D5C405-1DCE-4447-8628-72EFCA9EC128}" name="recommended_affordability_action" dataDxfId="1">
      <calculatedColumnFormula>IF(X2="High Affordability Pressure","Prioritize no/low-pass-through efficiency upgrades; review tenant utility burden and funding options",
IF(X2="Moderate Affordability Pressure","Monitor rent-plus-utility burden; target rebates and low-cost efficiency measures",
"Maintain affordability monitoring"))</calculatedColumnFormula>
    </tableColumn>
    <tableColumn id="27" xr3:uid="{9A76D2A0-AF12-4A0B-9BF5-264DDFEA5F9D}" name="affordability_rank">
      <calculatedColumnFormula>_xlfn.RANK.EQ(W2,$W$2:$W$11,0)</calculatedColumnFormula>
    </tableColumn>
    <tableColumn id="28" xr3:uid="{9B0CDA48-9DEB-4549-A3C7-6D71E800E20D}" name="affordability_action_category" dataDxfId="0">
      <calculatedColumnFormula>IF(X2="High Affordability Pressure","Immediate Review",
IF(X2="Moderate Affordability Pressure","Watchlist / Targeted Efficiency",
"Monitor"))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30D6-11EC-40F7-B15C-9BA5BF061CF8}">
  <dimension ref="A1:AB14"/>
  <sheetViews>
    <sheetView tabSelected="1" topLeftCell="G1" workbookViewId="0">
      <selection activeCell="Z18" sqref="Z18"/>
    </sheetView>
  </sheetViews>
  <sheetFormatPr defaultRowHeight="14.25"/>
  <cols>
    <col min="1" max="1" width="14.28515625" style="2" customWidth="1"/>
    <col min="2" max="2" width="16.85546875" style="2" customWidth="1"/>
    <col min="3" max="3" width="14.28515625" style="2" customWidth="1"/>
    <col min="4" max="4" width="21.5703125" style="2" customWidth="1"/>
    <col min="5" max="5" width="27.42578125" style="2" customWidth="1"/>
    <col min="6" max="6" width="42.7109375" style="2" customWidth="1"/>
    <col min="7" max="7" width="40.85546875" style="2" customWidth="1"/>
    <col min="8" max="8" width="36.85546875" style="2" customWidth="1"/>
    <col min="9" max="9" width="31.140625" style="2" customWidth="1"/>
    <col min="10" max="10" width="25.85546875" style="2" customWidth="1"/>
    <col min="11" max="11" width="19.5703125" style="2" customWidth="1"/>
    <col min="12" max="12" width="33.28515625" style="2" customWidth="1"/>
    <col min="13" max="13" width="32.28515625" style="2" customWidth="1"/>
    <col min="14" max="14" width="32.42578125" style="2" customWidth="1"/>
    <col min="15" max="15" width="39.5703125" style="2" customWidth="1"/>
    <col min="16" max="16" width="26.7109375" style="2" customWidth="1"/>
    <col min="17" max="17" width="25.85546875" style="2" customWidth="1"/>
    <col min="18" max="18" width="31.140625" style="2" customWidth="1"/>
    <col min="19" max="19" width="25.85546875" style="20" customWidth="1"/>
    <col min="20" max="20" width="20.140625" style="2" customWidth="1"/>
    <col min="21" max="21" width="29.140625" style="2" customWidth="1"/>
    <col min="22" max="22" width="23.85546875" style="20" customWidth="1"/>
    <col min="23" max="23" width="28.5703125" style="2" customWidth="1"/>
    <col min="24" max="24" width="27.140625" style="2" customWidth="1"/>
    <col min="25" max="25" width="27.5703125" style="2" customWidth="1"/>
    <col min="26" max="26" width="34.5703125" style="2" customWidth="1"/>
    <col min="27" max="27" width="19" style="2" customWidth="1"/>
    <col min="28" max="28" width="29.140625" style="2" customWidth="1"/>
    <col min="29" max="16384" width="9.140625" style="2"/>
  </cols>
  <sheetData>
    <row r="1" spans="1:28" s="12" customFormat="1" ht="15">
      <c r="A1" s="12" t="s">
        <v>0</v>
      </c>
      <c r="B1" s="12" t="s">
        <v>1</v>
      </c>
      <c r="C1" s="12" t="s">
        <v>5</v>
      </c>
      <c r="D1" s="12" t="s">
        <v>6</v>
      </c>
      <c r="E1" s="12" t="s">
        <v>7</v>
      </c>
      <c r="F1" s="12" t="s">
        <v>10</v>
      </c>
      <c r="G1" s="12" t="s">
        <v>43</v>
      </c>
      <c r="H1" s="12" t="s">
        <v>8</v>
      </c>
      <c r="I1" s="12" t="s">
        <v>44</v>
      </c>
      <c r="J1" s="12" t="s">
        <v>45</v>
      </c>
      <c r="K1" s="12" t="s">
        <v>46</v>
      </c>
      <c r="L1" s="12" t="s">
        <v>47</v>
      </c>
      <c r="M1" s="12" t="s">
        <v>48</v>
      </c>
      <c r="N1" s="12" t="s">
        <v>49</v>
      </c>
      <c r="O1" s="12" t="s">
        <v>50</v>
      </c>
      <c r="P1" s="12" t="s">
        <v>12</v>
      </c>
      <c r="Q1" s="12" t="s">
        <v>11</v>
      </c>
      <c r="R1" s="12" t="s">
        <v>17</v>
      </c>
      <c r="S1" s="12" t="s">
        <v>51</v>
      </c>
      <c r="T1" s="12" t="s">
        <v>52</v>
      </c>
      <c r="U1" s="12" t="s">
        <v>53</v>
      </c>
      <c r="V1" s="12" t="s">
        <v>54</v>
      </c>
      <c r="W1" s="12" t="s">
        <v>55</v>
      </c>
      <c r="X1" s="12" t="s">
        <v>56</v>
      </c>
      <c r="Y1" s="12" t="s">
        <v>57</v>
      </c>
      <c r="Z1" s="12" t="s">
        <v>58</v>
      </c>
      <c r="AA1" s="12" t="s">
        <v>59</v>
      </c>
      <c r="AB1" s="12" t="s">
        <v>60</v>
      </c>
    </row>
    <row r="2" spans="1:28" ht="69.75" customHeight="1">
      <c r="A2" s="9" t="s">
        <v>23</v>
      </c>
      <c r="B2" s="4" t="str">
        <f>_xlfn.XLOOKUP(A2,'[1]01_input_asset_master'!A:A,'[1]01_input_asset_master'!B:B,"Not found")</f>
        <v>Lakeview Terrace</v>
      </c>
      <c r="C2" s="6">
        <f>_xlfn.XLOOKUP(A2,'[1]01_input_asset_master'!A:A,'[1]01_input_asset_master'!I:I,"Not found")</f>
        <v>240</v>
      </c>
      <c r="D2" s="13">
        <f>_xlfn.XLOOKUP(A2,'[1]01_input_asset_master'!A:A,'[1]01_input_asset_master'!J:J,"Not found")</f>
        <v>0.91</v>
      </c>
      <c r="E2" s="7">
        <f>_xlfn.XLOOKUP(A2,'[1]21_input_affordability_context'!A:A,'[1]21_input_affordability_context'!H:H,"Not found")</f>
        <v>1050</v>
      </c>
      <c r="F2" s="8">
        <f>_xlfn.XLOOKUP(A2,'[1]21_input_affordability_context'!A:A,'[1]21_input_affordability_context'!K:K,"Not found")</f>
        <v>150</v>
      </c>
      <c r="G2" s="14">
        <f t="shared" ref="G2:G11" si="0">E2+F2</f>
        <v>1200</v>
      </c>
      <c r="H2" s="7">
        <f>_xlfn.XLOOKUP(A2,'[1]21_input_affordability_context'!A:A,'[1]21_input_affordability_context'!I:I,"Not found")</f>
        <v>47000</v>
      </c>
      <c r="I2" s="15">
        <f t="shared" ref="I2:I11" si="1">H2/12</f>
        <v>3916.6666666666665</v>
      </c>
      <c r="J2" s="16">
        <f t="shared" ref="J2:J11" si="2">G2/I2</f>
        <v>0.30638297872340425</v>
      </c>
      <c r="K2" s="17">
        <f t="shared" ref="K2:K11" si="3">F2/I2</f>
        <v>3.8297872340425532E-2</v>
      </c>
      <c r="L2" s="18">
        <f>_xlfn.XLOOKUP(A2,'[1]11_calc_energy_summary'!A:A,'[1]11_calc_energy_summary'!Q:Q,"Not found")</f>
        <v>1.5205452727272728</v>
      </c>
      <c r="M2" s="19">
        <f>_xlfn.XLOOKUP(A2,'[1]12_calc_water_summary'!A:A,'[1]12_calc_water_summary'!K:K,"Not found")</f>
        <v>805.05616666666651</v>
      </c>
      <c r="N2" s="19">
        <f>_xlfn.XLOOKUP(A2,'[1]13_calc_waste_summary'!A:A,'[1]13_calc_waste_summary'!N:N,"Not found")</f>
        <v>133.77916666666667</v>
      </c>
      <c r="O2" s="18">
        <f t="shared" ref="O2:O11" si="4">L2+M2+N2</f>
        <v>940.35587860606051</v>
      </c>
      <c r="P2" s="2" t="str">
        <f t="shared" ref="P2:P11" si="5">IF(F2&gt;0,"Tenant Utility Exposure","No Tenant Utility Exposure")</f>
        <v>Tenant Utility Exposure</v>
      </c>
      <c r="Q2" s="20" t="str">
        <f t="shared" ref="Q2:Q11" si="6">IF(O2&gt;0,"Owner Utility Exposure","No Owner Utility Exposure")</f>
        <v>Owner Utility Exposure</v>
      </c>
      <c r="R2" s="21" t="str">
        <f t="shared" ref="R2:R11" si="7">IF(D2&gt;=0.5,"Low",IF(D2&gt;=0.25,"Medium","High"))</f>
        <v>Low</v>
      </c>
      <c r="S2" s="22" t="str">
        <f t="shared" ref="S2:S11" si="8">IF(J2&gt;=0.5,"Severe Burden Risk",IF(J2&gt;=0.3,"Burden Risk","Lower Burden Risk"))</f>
        <v>Burden Risk</v>
      </c>
      <c r="T2" s="20" t="str">
        <f t="shared" ref="T2:T11" si="9">IF(K2&gt;=0.06,"High Utility Burden",IF(K2&gt;=0.03,"Moderate Utility Burden","Lower Utility Burden"))</f>
        <v>Moderate Utility Burden</v>
      </c>
      <c r="U2" s="22" t="str">
        <f t="shared" ref="U2:U11" si="10">IF(D2&gt;=0.5,"Affordable-Heavy Property",IF(D2&gt;=0.2,"Mixed-Income Property","Mostly Market-Rate Property"))</f>
        <v>Affordable-Heavy Property</v>
      </c>
      <c r="V2" s="20" t="str">
        <f t="shared" ref="V2:V11" si="11">IF(R2="High","High Pass-Through Risk",IF(R2="Medium","Moderate Pass-Through Risk","Lower Pass-Through Risk"))</f>
        <v>Lower Pass-Through Risk</v>
      </c>
      <c r="W2" s="11">
        <f t="shared" ref="W2:W11" si="12">IF(J2&gt;=0.5,3,IF(J2&gt;=0.3,2,1))
+IF(K2&gt;=0.06,3,IF(K2&gt;=0.03,2,1))
+IF(D2&gt;=0.5,3,IF(D2&gt;=0.25,2,1))
+IF(R2="High",2,IF(R2="Medium",1,0))
+IF(O2&gt;AVERAGE($O$2:$O$11),1,0)</f>
        <v>8</v>
      </c>
      <c r="X2" s="22" t="str">
        <f t="shared" ref="X2:X11" si="13">IF(W2&gt;=10,"High Affordability Pressure",IF(W2&gt;=7,"Moderate Affordability Pressure","Lower Affordability Pressure"))</f>
        <v>Moderate Affordability Pressure</v>
      </c>
      <c r="Y2" s="22" t="str">
        <f t="shared" ref="Y2:Y11" si="14">IF(X2="Lower Affordability Pressure","Monitor",
IF(AND(J2&gt;=0.5,K2&gt;=0.06),"Severe housing + utility burden",
IF(J2&gt;=0.5,"Severe housing burden",
IF(K2&gt;=0.06,"High utility burden",
IF(O2&gt;AVERAGE($O$2:$O$11),"High owner utility cost pressure",
"Monitor")))))</f>
        <v>High owner utility cost pressure</v>
      </c>
      <c r="Z2" s="22" t="str">
        <f t="shared" ref="Z2:Z11" si="15">IF(X2="High Affordability Pressure","Prioritize no/low-pass-through efficiency upgrades; review tenant utility burden and funding options",
IF(X2="Moderate Affordability Pressure","Monitor rent-plus-utility burden; target rebates and low-cost efficiency measures",
"Maintain affordability monitoring"))</f>
        <v>Monitor rent-plus-utility burden; target rebates and low-cost efficiency measures</v>
      </c>
      <c r="AA2" s="2">
        <f t="shared" ref="AA2:AA11" si="16">_xlfn.RANK.EQ(W2,$W$2:$W$11,0)</f>
        <v>1</v>
      </c>
      <c r="AB2" s="22" t="str">
        <f t="shared" ref="AB2:AB11" si="17">IF(X2="High Affordability Pressure","Immediate Review",
IF(X2="Moderate Affordability Pressure","Watchlist / Targeted Efficiency",
"Monitor"))</f>
        <v>Watchlist / Targeted Efficiency</v>
      </c>
    </row>
    <row r="3" spans="1:28" ht="42.75">
      <c r="A3" s="9" t="s">
        <v>33</v>
      </c>
      <c r="B3" s="4" t="str">
        <f>_xlfn.XLOOKUP(A3,'[1]01_input_asset_master'!A:A,'[1]01_input_asset_master'!B:B,"Not found")</f>
        <v>South Park Apartments</v>
      </c>
      <c r="C3" s="6">
        <f>_xlfn.XLOOKUP(A3,'[1]01_input_asset_master'!A:A,'[1]01_input_asset_master'!I:I,"Not found")</f>
        <v>210</v>
      </c>
      <c r="D3" s="13">
        <f>_xlfn.XLOOKUP(A3,'[1]01_input_asset_master'!A:A,'[1]01_input_asset_master'!J:J,"Not found")</f>
        <v>0.89</v>
      </c>
      <c r="E3" s="7">
        <f>_xlfn.XLOOKUP(A3,'[1]21_input_affordability_context'!A:A,'[1]21_input_affordability_context'!H:H,"Not found")</f>
        <v>1025</v>
      </c>
      <c r="F3" s="8">
        <f>_xlfn.XLOOKUP(A3,'[1]21_input_affordability_context'!A:A,'[1]21_input_affordability_context'!K:K,"Not found")</f>
        <v>155</v>
      </c>
      <c r="G3" s="14">
        <f t="shared" si="0"/>
        <v>1180</v>
      </c>
      <c r="H3" s="7">
        <f>_xlfn.XLOOKUP(A3,'[1]21_input_affordability_context'!A:A,'[1]21_input_affordability_context'!I:I,"Not found")</f>
        <v>43000</v>
      </c>
      <c r="I3" s="15">
        <f t="shared" si="1"/>
        <v>3583.3333333333335</v>
      </c>
      <c r="J3" s="16">
        <f t="shared" si="2"/>
        <v>0.32930232558139533</v>
      </c>
      <c r="K3" s="17">
        <f t="shared" si="3"/>
        <v>4.3255813953488369E-2</v>
      </c>
      <c r="L3" s="18">
        <f>_xlfn.XLOOKUP(A3,'[1]11_calc_energy_summary'!A:A,'[1]11_calc_energy_summary'!Q:Q,"Not found")</f>
        <v>1.5550016756756757</v>
      </c>
      <c r="M3" s="19">
        <f>_xlfn.XLOOKUP(A3,'[1]12_calc_water_summary'!A:A,'[1]12_calc_water_summary'!K:K,"Not found")</f>
        <v>766.91895238095242</v>
      </c>
      <c r="N3" s="19">
        <f>_xlfn.XLOOKUP(A3,'[1]13_calc_waste_summary'!A:A,'[1]13_calc_waste_summary'!N:N,"Not found")</f>
        <v>137.86666666666667</v>
      </c>
      <c r="O3" s="18">
        <f t="shared" si="4"/>
        <v>906.34062072329482</v>
      </c>
      <c r="P3" s="2" t="str">
        <f t="shared" si="5"/>
        <v>Tenant Utility Exposure</v>
      </c>
      <c r="Q3" s="20" t="str">
        <f t="shared" si="6"/>
        <v>Owner Utility Exposure</v>
      </c>
      <c r="R3" s="21" t="str">
        <f t="shared" si="7"/>
        <v>Low</v>
      </c>
      <c r="S3" s="22" t="str">
        <f t="shared" si="8"/>
        <v>Burden Risk</v>
      </c>
      <c r="T3" s="20" t="str">
        <f t="shared" si="9"/>
        <v>Moderate Utility Burden</v>
      </c>
      <c r="U3" s="22" t="str">
        <f t="shared" si="10"/>
        <v>Affordable-Heavy Property</v>
      </c>
      <c r="V3" s="20" t="str">
        <f t="shared" si="11"/>
        <v>Lower Pass-Through Risk</v>
      </c>
      <c r="W3" s="11">
        <f t="shared" si="12"/>
        <v>8</v>
      </c>
      <c r="X3" s="22" t="str">
        <f t="shared" si="13"/>
        <v>Moderate Affordability Pressure</v>
      </c>
      <c r="Y3" s="22" t="str">
        <f t="shared" si="14"/>
        <v>High owner utility cost pressure</v>
      </c>
      <c r="Z3" s="22" t="str">
        <f t="shared" si="15"/>
        <v>Monitor rent-plus-utility burden; target rebates and low-cost efficiency measures</v>
      </c>
      <c r="AA3" s="2">
        <f t="shared" si="16"/>
        <v>1</v>
      </c>
      <c r="AB3" s="22" t="str">
        <f t="shared" si="17"/>
        <v>Watchlist / Targeted Efficiency</v>
      </c>
    </row>
    <row r="4" spans="1:28" ht="42.75">
      <c r="A4" s="9" t="s">
        <v>41</v>
      </c>
      <c r="B4" s="4" t="str">
        <f>_xlfn.XLOOKUP(A4,'[1]01_input_asset_master'!A:A,'[1]01_input_asset_master'!B:B,"Not found")</f>
        <v>Harbor Point Apartments</v>
      </c>
      <c r="C4" s="6">
        <f>_xlfn.XLOOKUP(A4,'[1]01_input_asset_master'!A:A,'[1]01_input_asset_master'!I:I,"Not found")</f>
        <v>175</v>
      </c>
      <c r="D4" s="13">
        <f>_xlfn.XLOOKUP(A4,'[1]01_input_asset_master'!A:A,'[1]01_input_asset_master'!J:J,"Not found")</f>
        <v>0.9</v>
      </c>
      <c r="E4" s="7">
        <f>_xlfn.XLOOKUP(A4,'[1]21_input_affordability_context'!A:A,'[1]21_input_affordability_context'!H:H,"Not found")</f>
        <v>1100</v>
      </c>
      <c r="F4" s="8">
        <f>_xlfn.XLOOKUP(A4,'[1]21_input_affordability_context'!A:A,'[1]21_input_affordability_context'!K:K,"Not found")</f>
        <v>145</v>
      </c>
      <c r="G4" s="14">
        <f t="shared" si="0"/>
        <v>1245</v>
      </c>
      <c r="H4" s="7">
        <f>_xlfn.XLOOKUP(A4,'[1]21_input_affordability_context'!A:A,'[1]21_input_affordability_context'!I:I,"Not found")</f>
        <v>50000</v>
      </c>
      <c r="I4" s="15">
        <f t="shared" si="1"/>
        <v>4166.666666666667</v>
      </c>
      <c r="J4" s="16">
        <f t="shared" si="2"/>
        <v>0.29879999999999995</v>
      </c>
      <c r="K4" s="17">
        <f t="shared" si="3"/>
        <v>3.4799999999999998E-2</v>
      </c>
      <c r="L4" s="18">
        <f>_xlfn.XLOOKUP(A4,'[1]11_calc_energy_summary'!A:A,'[1]11_calc_energy_summary'!Q:Q,"Not found")</f>
        <v>1.4447578125</v>
      </c>
      <c r="M4" s="19">
        <f>_xlfn.XLOOKUP(A4,'[1]12_calc_water_summary'!A:A,'[1]12_calc_water_summary'!K:K,"Not found")</f>
        <v>738.37725714285705</v>
      </c>
      <c r="N4" s="19">
        <f>_xlfn.XLOOKUP(A4,'[1]13_calc_waste_summary'!A:A,'[1]13_calc_waste_summary'!N:N,"Not found")</f>
        <v>135.61142857142858</v>
      </c>
      <c r="O4" s="18">
        <f t="shared" si="4"/>
        <v>875.4334435267856</v>
      </c>
      <c r="P4" s="2" t="str">
        <f t="shared" si="5"/>
        <v>Tenant Utility Exposure</v>
      </c>
      <c r="Q4" s="20" t="str">
        <f t="shared" si="6"/>
        <v>Owner Utility Exposure</v>
      </c>
      <c r="R4" s="21" t="str">
        <f t="shared" si="7"/>
        <v>Low</v>
      </c>
      <c r="S4" s="22" t="str">
        <f t="shared" si="8"/>
        <v>Lower Burden Risk</v>
      </c>
      <c r="T4" s="20" t="str">
        <f t="shared" si="9"/>
        <v>Moderate Utility Burden</v>
      </c>
      <c r="U4" s="22" t="str">
        <f t="shared" si="10"/>
        <v>Affordable-Heavy Property</v>
      </c>
      <c r="V4" s="20" t="str">
        <f t="shared" si="11"/>
        <v>Lower Pass-Through Risk</v>
      </c>
      <c r="W4" s="11">
        <f t="shared" si="12"/>
        <v>7</v>
      </c>
      <c r="X4" s="22" t="str">
        <f t="shared" si="13"/>
        <v>Moderate Affordability Pressure</v>
      </c>
      <c r="Y4" s="22" t="str">
        <f t="shared" si="14"/>
        <v>High owner utility cost pressure</v>
      </c>
      <c r="Z4" s="22" t="str">
        <f t="shared" si="15"/>
        <v>Monitor rent-plus-utility burden; target rebates and low-cost efficiency measures</v>
      </c>
      <c r="AA4" s="2">
        <f t="shared" si="16"/>
        <v>3</v>
      </c>
      <c r="AB4" s="22" t="str">
        <f t="shared" si="17"/>
        <v>Watchlist / Targeted Efficiency</v>
      </c>
    </row>
    <row r="5" spans="1:28" ht="29.25">
      <c r="A5" s="3" t="s">
        <v>19</v>
      </c>
      <c r="B5" s="4" t="str">
        <f>_xlfn.XLOOKUP(A5,'[1]01_input_asset_master'!A:A,'[1]01_input_asset_master'!B:B,"Not found")</f>
        <v>Riverbend Apartments</v>
      </c>
      <c r="C5" s="6">
        <f>_xlfn.XLOOKUP(A5,'[1]01_input_asset_master'!A:A,'[1]01_input_asset_master'!I:I,"Not found")</f>
        <v>180</v>
      </c>
      <c r="D5" s="13">
        <f>_xlfn.XLOOKUP(A5,'[1]01_input_asset_master'!A:A,'[1]01_input_asset_master'!J:J,"Not found")</f>
        <v>0.94</v>
      </c>
      <c r="E5" s="7">
        <f>_xlfn.XLOOKUP(A5,'[1]21_input_affordability_context'!A:A,'[1]21_input_affordability_context'!H:H,"Not found")</f>
        <v>1450</v>
      </c>
      <c r="F5" s="8">
        <f>_xlfn.XLOOKUP(A5,'[1]21_input_affordability_context'!A:A,'[1]21_input_affordability_context'!K:K,"Not found")</f>
        <v>120</v>
      </c>
      <c r="G5" s="14">
        <f t="shared" si="0"/>
        <v>1570</v>
      </c>
      <c r="H5" s="7">
        <f>_xlfn.XLOOKUP(A5,'[1]21_input_affordability_context'!A:A,'[1]21_input_affordability_context'!I:I,"Not found")</f>
        <v>76000</v>
      </c>
      <c r="I5" s="15">
        <f t="shared" si="1"/>
        <v>6333.333333333333</v>
      </c>
      <c r="J5" s="16">
        <f t="shared" si="2"/>
        <v>0.24789473684210528</v>
      </c>
      <c r="K5" s="17">
        <f t="shared" si="3"/>
        <v>1.8947368421052633E-2</v>
      </c>
      <c r="L5" s="18">
        <f>_xlfn.XLOOKUP(A5,'[1]11_calc_energy_summary'!A:A,'[1]11_calc_energy_summary'!Q:Q,"Not found")</f>
        <v>1.373667454545455</v>
      </c>
      <c r="M5" s="19">
        <f>_xlfn.XLOOKUP(A5,'[1]12_calc_water_summary'!A:A,'[1]12_calc_water_summary'!K:K,"Not found")</f>
        <v>626.09011111111124</v>
      </c>
      <c r="N5" s="19">
        <f>L5+M5</f>
        <v>627.46377856565675</v>
      </c>
      <c r="O5" s="18">
        <f t="shared" si="4"/>
        <v>1254.9275571313135</v>
      </c>
      <c r="P5" s="2" t="str">
        <f t="shared" si="5"/>
        <v>Tenant Utility Exposure</v>
      </c>
      <c r="Q5" s="20" t="str">
        <f t="shared" si="6"/>
        <v>Owner Utility Exposure</v>
      </c>
      <c r="R5" s="21" t="str">
        <f t="shared" si="7"/>
        <v>Low</v>
      </c>
      <c r="S5" s="22" t="str">
        <f t="shared" si="8"/>
        <v>Lower Burden Risk</v>
      </c>
      <c r="T5" s="20" t="str">
        <f t="shared" si="9"/>
        <v>Lower Utility Burden</v>
      </c>
      <c r="U5" s="22" t="str">
        <f t="shared" si="10"/>
        <v>Affordable-Heavy Property</v>
      </c>
      <c r="V5" s="20" t="str">
        <f t="shared" si="11"/>
        <v>Lower Pass-Through Risk</v>
      </c>
      <c r="W5" s="11">
        <f t="shared" si="12"/>
        <v>6</v>
      </c>
      <c r="X5" s="22" t="str">
        <f t="shared" si="13"/>
        <v>Lower Affordability Pressure</v>
      </c>
      <c r="Y5" s="22" t="str">
        <f t="shared" si="14"/>
        <v>Monitor</v>
      </c>
      <c r="Z5" s="22" t="str">
        <f t="shared" si="15"/>
        <v>Maintain affordability monitoring</v>
      </c>
      <c r="AA5" s="2">
        <f t="shared" si="16"/>
        <v>4</v>
      </c>
      <c r="AB5" s="22" t="str">
        <f t="shared" si="17"/>
        <v>Monitor</v>
      </c>
    </row>
    <row r="6" spans="1:28" ht="29.25">
      <c r="A6" s="3" t="s">
        <v>25</v>
      </c>
      <c r="B6" s="4" t="str">
        <f>_xlfn.XLOOKUP(A6,'[1]01_input_asset_master'!A:A,'[1]01_input_asset_master'!B:B,"Not found")</f>
        <v>Northside Commons</v>
      </c>
      <c r="C6" s="6">
        <f>_xlfn.XLOOKUP(A6,'[1]01_input_asset_master'!A:A,'[1]01_input_asset_master'!I:I,"Not found")</f>
        <v>160</v>
      </c>
      <c r="D6" s="13">
        <f>_xlfn.XLOOKUP(A6,'[1]01_input_asset_master'!A:A,'[1]01_input_asset_master'!J:J,"Not found")</f>
        <v>0.96</v>
      </c>
      <c r="E6" s="7">
        <f>_xlfn.XLOOKUP(A6,'[1]21_input_affordability_context'!A:A,'[1]21_input_affordability_context'!H:H,"Not found")</f>
        <v>1350</v>
      </c>
      <c r="F6" s="8">
        <f>_xlfn.XLOOKUP(A6,'[1]21_input_affordability_context'!A:A,'[1]21_input_affordability_context'!K:K,"Not found")</f>
        <v>125</v>
      </c>
      <c r="G6" s="14">
        <f t="shared" si="0"/>
        <v>1475</v>
      </c>
      <c r="H6" s="7">
        <f>_xlfn.XLOOKUP(A6,'[1]21_input_affordability_context'!A:A,'[1]21_input_affordability_context'!I:I,"Not found")</f>
        <v>62000</v>
      </c>
      <c r="I6" s="15">
        <f t="shared" si="1"/>
        <v>5166.666666666667</v>
      </c>
      <c r="J6" s="16">
        <f t="shared" si="2"/>
        <v>0.28548387096774192</v>
      </c>
      <c r="K6" s="17">
        <f t="shared" si="3"/>
        <v>2.4193548387096774E-2</v>
      </c>
      <c r="L6" s="18">
        <f>_xlfn.XLOOKUP(A6,'[1]11_calc_energy_summary'!A:A,'[1]11_calc_energy_summary'!Q:Q,"Not found")</f>
        <v>1.3241534482758623</v>
      </c>
      <c r="M6" s="19">
        <f>_xlfn.XLOOKUP(A6,'[1]12_calc_water_summary'!A:A,'[1]12_calc_water_summary'!K:K,"Not found")</f>
        <v>573.74150000000009</v>
      </c>
      <c r="N6" s="19">
        <f>_xlfn.XLOOKUP(A6,'[1]13_calc_waste_summary'!A:A,'[1]13_calc_waste_summary'!N:N,"Not found")</f>
        <v>136.46250000000001</v>
      </c>
      <c r="O6" s="18">
        <f t="shared" si="4"/>
        <v>711.52815344827593</v>
      </c>
      <c r="P6" s="2" t="str">
        <f t="shared" si="5"/>
        <v>Tenant Utility Exposure</v>
      </c>
      <c r="Q6" s="20" t="str">
        <f t="shared" si="6"/>
        <v>Owner Utility Exposure</v>
      </c>
      <c r="R6" s="21" t="str">
        <f t="shared" si="7"/>
        <v>Low</v>
      </c>
      <c r="S6" s="22" t="str">
        <f t="shared" si="8"/>
        <v>Lower Burden Risk</v>
      </c>
      <c r="T6" s="20" t="str">
        <f t="shared" si="9"/>
        <v>Lower Utility Burden</v>
      </c>
      <c r="U6" s="22" t="str">
        <f t="shared" si="10"/>
        <v>Affordable-Heavy Property</v>
      </c>
      <c r="V6" s="20" t="str">
        <f t="shared" si="11"/>
        <v>Lower Pass-Through Risk</v>
      </c>
      <c r="W6" s="11">
        <f t="shared" si="12"/>
        <v>5</v>
      </c>
      <c r="X6" s="22" t="str">
        <f t="shared" si="13"/>
        <v>Lower Affordability Pressure</v>
      </c>
      <c r="Y6" s="22" t="str">
        <f t="shared" si="14"/>
        <v>Monitor</v>
      </c>
      <c r="Z6" s="22" t="str">
        <f t="shared" si="15"/>
        <v>Maintain affordability monitoring</v>
      </c>
      <c r="AA6" s="2">
        <f t="shared" si="16"/>
        <v>5</v>
      </c>
      <c r="AB6" s="22" t="str">
        <f t="shared" si="17"/>
        <v>Monitor</v>
      </c>
    </row>
    <row r="7" spans="1:28" ht="29.25">
      <c r="A7" s="9" t="s">
        <v>28</v>
      </c>
      <c r="B7" s="4" t="str">
        <f>_xlfn.XLOOKUP(A7,'[1]01_input_asset_master'!A:A,'[1]01_input_asset_master'!B:B,"Not found")</f>
        <v>Badger Ridge Homes</v>
      </c>
      <c r="C7" s="6">
        <f>_xlfn.XLOOKUP(A7,'[1]01_input_asset_master'!A:A,'[1]01_input_asset_master'!I:I,"Not found")</f>
        <v>130</v>
      </c>
      <c r="D7" s="13">
        <f>_xlfn.XLOOKUP(A7,'[1]01_input_asset_master'!A:A,'[1]01_input_asset_master'!J:J,"Not found")</f>
        <v>0.93</v>
      </c>
      <c r="E7" s="7">
        <f>_xlfn.XLOOKUP(A7,'[1]21_input_affordability_context'!A:A,'[1]21_input_affordability_context'!H:H,"Not found")</f>
        <v>1150</v>
      </c>
      <c r="F7" s="8">
        <f>_xlfn.XLOOKUP(A7,'[1]21_input_affordability_context'!A:A,'[1]21_input_affordability_context'!K:K,"Not found")</f>
        <v>135</v>
      </c>
      <c r="G7" s="14">
        <f t="shared" si="0"/>
        <v>1285</v>
      </c>
      <c r="H7" s="7">
        <f>_xlfn.XLOOKUP(A7,'[1]21_input_affordability_context'!A:A,'[1]21_input_affordability_context'!I:I,"Not found")</f>
        <v>56000</v>
      </c>
      <c r="I7" s="15">
        <f t="shared" si="1"/>
        <v>4666.666666666667</v>
      </c>
      <c r="J7" s="16">
        <f t="shared" si="2"/>
        <v>0.27535714285714286</v>
      </c>
      <c r="K7" s="17">
        <f t="shared" si="3"/>
        <v>2.8928571428571425E-2</v>
      </c>
      <c r="L7" s="18">
        <f>_xlfn.XLOOKUP(A7,'[1]11_calc_energy_summary'!A:A,'[1]11_calc_energy_summary'!Q:Q,"Not found")</f>
        <v>1.4288463333333332</v>
      </c>
      <c r="M7" s="19">
        <f>_xlfn.XLOOKUP(A7,'[1]12_calc_water_summary'!A:A,'[1]12_calc_water_summary'!K:K,"Not found")</f>
        <v>604.94399999999996</v>
      </c>
      <c r="N7" s="19">
        <f>_xlfn.XLOOKUP(A7,'[1]13_calc_waste_summary'!A:A,'[1]13_calc_waste_summary'!N:N,"Not found")</f>
        <v>141.99230769230769</v>
      </c>
      <c r="O7" s="18">
        <f t="shared" si="4"/>
        <v>748.365154025641</v>
      </c>
      <c r="P7" s="2" t="str">
        <f t="shared" si="5"/>
        <v>Tenant Utility Exposure</v>
      </c>
      <c r="Q7" s="20" t="str">
        <f t="shared" si="6"/>
        <v>Owner Utility Exposure</v>
      </c>
      <c r="R7" s="21" t="str">
        <f t="shared" si="7"/>
        <v>Low</v>
      </c>
      <c r="S7" s="22" t="str">
        <f t="shared" si="8"/>
        <v>Lower Burden Risk</v>
      </c>
      <c r="T7" s="20" t="str">
        <f t="shared" si="9"/>
        <v>Lower Utility Burden</v>
      </c>
      <c r="U7" s="22" t="str">
        <f t="shared" si="10"/>
        <v>Affordable-Heavy Property</v>
      </c>
      <c r="V7" s="20" t="str">
        <f t="shared" si="11"/>
        <v>Lower Pass-Through Risk</v>
      </c>
      <c r="W7" s="11">
        <f t="shared" si="12"/>
        <v>5</v>
      </c>
      <c r="X7" s="22" t="str">
        <f t="shared" si="13"/>
        <v>Lower Affordability Pressure</v>
      </c>
      <c r="Y7" s="22" t="str">
        <f t="shared" si="14"/>
        <v>Monitor</v>
      </c>
      <c r="Z7" s="22" t="str">
        <f t="shared" si="15"/>
        <v>Maintain affordability monitoring</v>
      </c>
      <c r="AA7" s="2">
        <f t="shared" si="16"/>
        <v>5</v>
      </c>
      <c r="AB7" s="22" t="str">
        <f t="shared" si="17"/>
        <v>Monitor</v>
      </c>
    </row>
    <row r="8" spans="1:28" ht="29.25">
      <c r="A8" s="3" t="s">
        <v>31</v>
      </c>
      <c r="B8" s="4" t="str">
        <f>_xlfn.XLOOKUP(A8,'[1]01_input_asset_master'!A:A,'[1]01_input_asset_master'!B:B,"Not found")</f>
        <v>Oak Street Lofts</v>
      </c>
      <c r="C8" s="6">
        <f>_xlfn.XLOOKUP(A8,'[1]01_input_asset_master'!A:A,'[1]01_input_asset_master'!I:I,"Not found")</f>
        <v>105</v>
      </c>
      <c r="D8" s="13">
        <f>_xlfn.XLOOKUP(A8,'[1]01_input_asset_master'!A:A,'[1]01_input_asset_master'!J:J,"Not found")</f>
        <v>0.97</v>
      </c>
      <c r="E8" s="7">
        <f>_xlfn.XLOOKUP(A8,'[1]21_input_affordability_context'!A:A,'[1]21_input_affordability_context'!H:H,"Not found")</f>
        <v>1600</v>
      </c>
      <c r="F8" s="8">
        <f>_xlfn.XLOOKUP(A8,'[1]21_input_affordability_context'!A:A,'[1]21_input_affordability_context'!K:K,"Not found")</f>
        <v>110</v>
      </c>
      <c r="G8" s="14">
        <f t="shared" si="0"/>
        <v>1710</v>
      </c>
      <c r="H8" s="7">
        <f>_xlfn.XLOOKUP(A8,'[1]21_input_affordability_context'!A:A,'[1]21_input_affordability_context'!I:I,"Not found")</f>
        <v>69000</v>
      </c>
      <c r="I8" s="15">
        <f t="shared" si="1"/>
        <v>5750</v>
      </c>
      <c r="J8" s="16">
        <f t="shared" si="2"/>
        <v>0.29739130434782607</v>
      </c>
      <c r="K8" s="17">
        <f t="shared" si="3"/>
        <v>1.9130434782608695E-2</v>
      </c>
      <c r="L8" s="18">
        <f>_xlfn.XLOOKUP(A8,'[1]11_calc_energy_summary'!A:A,'[1]11_calc_energy_summary'!Q:Q,"Not found")</f>
        <v>1.2346178571428572</v>
      </c>
      <c r="M8" s="19">
        <f>_xlfn.XLOOKUP(A8,'[1]12_calc_water_summary'!A:A,'[1]12_calc_water_summary'!K:K,"Not found")</f>
        <v>484.29847619047621</v>
      </c>
      <c r="N8" s="19">
        <f>_xlfn.XLOOKUP(A8,'[1]13_calc_waste_summary'!A:A,'[1]13_calc_waste_summary'!N:N,"Not found")</f>
        <v>142.00952380952381</v>
      </c>
      <c r="O8" s="18">
        <f t="shared" si="4"/>
        <v>627.54261785714289</v>
      </c>
      <c r="P8" s="2" t="str">
        <f t="shared" si="5"/>
        <v>Tenant Utility Exposure</v>
      </c>
      <c r="Q8" s="20" t="str">
        <f t="shared" si="6"/>
        <v>Owner Utility Exposure</v>
      </c>
      <c r="R8" s="21" t="str">
        <f t="shared" si="7"/>
        <v>Low</v>
      </c>
      <c r="S8" s="22" t="str">
        <f t="shared" si="8"/>
        <v>Lower Burden Risk</v>
      </c>
      <c r="T8" s="20" t="str">
        <f t="shared" si="9"/>
        <v>Lower Utility Burden</v>
      </c>
      <c r="U8" s="22" t="str">
        <f t="shared" si="10"/>
        <v>Affordable-Heavy Property</v>
      </c>
      <c r="V8" s="20" t="str">
        <f t="shared" si="11"/>
        <v>Lower Pass-Through Risk</v>
      </c>
      <c r="W8" s="11">
        <f t="shared" si="12"/>
        <v>5</v>
      </c>
      <c r="X8" s="22" t="str">
        <f t="shared" si="13"/>
        <v>Lower Affordability Pressure</v>
      </c>
      <c r="Y8" s="22" t="str">
        <f t="shared" si="14"/>
        <v>Monitor</v>
      </c>
      <c r="Z8" s="22" t="str">
        <f t="shared" si="15"/>
        <v>Maintain affordability monitoring</v>
      </c>
      <c r="AA8" s="2">
        <f t="shared" si="16"/>
        <v>5</v>
      </c>
      <c r="AB8" s="22" t="str">
        <f t="shared" si="17"/>
        <v>Monitor</v>
      </c>
    </row>
    <row r="9" spans="1:28" ht="29.25">
      <c r="A9" s="3" t="s">
        <v>35</v>
      </c>
      <c r="B9" s="4" t="str">
        <f>_xlfn.XLOOKUP(A9,'[1]01_input_asset_master'!A:A,'[1]01_input_asset_master'!B:B,"Not found")</f>
        <v>Fox River Flats</v>
      </c>
      <c r="C9" s="6">
        <f>_xlfn.XLOOKUP(A9,'[1]01_input_asset_master'!A:A,'[1]01_input_asset_master'!I:I,"Not found")</f>
        <v>150</v>
      </c>
      <c r="D9" s="13">
        <f>_xlfn.XLOOKUP(A9,'[1]01_input_asset_master'!A:A,'[1]01_input_asset_master'!J:J,"Not found")</f>
        <v>0.95</v>
      </c>
      <c r="E9" s="7">
        <f>_xlfn.XLOOKUP(A9,'[1]21_input_affordability_context'!A:A,'[1]21_input_affordability_context'!H:H,"Not found")</f>
        <v>1400</v>
      </c>
      <c r="F9" s="8">
        <f>_xlfn.XLOOKUP(A9,'[1]21_input_affordability_context'!A:A,'[1]21_input_affordability_context'!K:K,"Not found")</f>
        <v>120</v>
      </c>
      <c r="G9" s="14">
        <f t="shared" si="0"/>
        <v>1520</v>
      </c>
      <c r="H9" s="7">
        <f>_xlfn.XLOOKUP(A9,'[1]21_input_affordability_context'!A:A,'[1]21_input_affordability_context'!I:I,"Not found")</f>
        <v>65000</v>
      </c>
      <c r="I9" s="15">
        <f t="shared" si="1"/>
        <v>5416.666666666667</v>
      </c>
      <c r="J9" s="16">
        <f t="shared" si="2"/>
        <v>0.2806153846153846</v>
      </c>
      <c r="K9" s="17">
        <f t="shared" si="3"/>
        <v>2.2153846153846152E-2</v>
      </c>
      <c r="L9" s="18">
        <f>_xlfn.XLOOKUP(A9,'[1]11_calc_energy_summary'!A:A,'[1]11_calc_energy_summary'!Q:Q,"Not found")</f>
        <v>1.2925763703703705</v>
      </c>
      <c r="M9" s="19">
        <f>_xlfn.XLOOKUP(A9,'[1]12_calc_water_summary'!A:A,'[1]12_calc_water_summary'!K:K,"Not found")</f>
        <v>507.27839999999998</v>
      </c>
      <c r="N9" s="19">
        <f>_xlfn.XLOOKUP(A9,'[1]13_calc_waste_summary'!A:A,'[1]13_calc_waste_summary'!N:N,"Not found")</f>
        <v>136.01333333333332</v>
      </c>
      <c r="O9" s="18">
        <f t="shared" si="4"/>
        <v>644.58430970370364</v>
      </c>
      <c r="P9" s="2" t="str">
        <f t="shared" si="5"/>
        <v>Tenant Utility Exposure</v>
      </c>
      <c r="Q9" s="20" t="str">
        <f t="shared" si="6"/>
        <v>Owner Utility Exposure</v>
      </c>
      <c r="R9" s="21" t="str">
        <f t="shared" si="7"/>
        <v>Low</v>
      </c>
      <c r="S9" s="22" t="str">
        <f t="shared" si="8"/>
        <v>Lower Burden Risk</v>
      </c>
      <c r="T9" s="20" t="str">
        <f t="shared" si="9"/>
        <v>Lower Utility Burden</v>
      </c>
      <c r="U9" s="22" t="str">
        <f t="shared" si="10"/>
        <v>Affordable-Heavy Property</v>
      </c>
      <c r="V9" s="20" t="str">
        <f t="shared" si="11"/>
        <v>Lower Pass-Through Risk</v>
      </c>
      <c r="W9" s="11">
        <f t="shared" si="12"/>
        <v>5</v>
      </c>
      <c r="X9" s="22" t="str">
        <f t="shared" si="13"/>
        <v>Lower Affordability Pressure</v>
      </c>
      <c r="Y9" s="22" t="str">
        <f t="shared" si="14"/>
        <v>Monitor</v>
      </c>
      <c r="Z9" s="22" t="str">
        <f t="shared" si="15"/>
        <v>Maintain affordability monitoring</v>
      </c>
      <c r="AA9" s="2">
        <f t="shared" si="16"/>
        <v>5</v>
      </c>
      <c r="AB9" s="22" t="str">
        <f t="shared" si="17"/>
        <v>Monitor</v>
      </c>
    </row>
    <row r="10" spans="1:28" ht="29.25">
      <c r="A10" s="9" t="s">
        <v>38</v>
      </c>
      <c r="B10" s="4" t="str">
        <f>_xlfn.XLOOKUP(A10,'[1]01_input_asset_master'!A:A,'[1]01_input_asset_master'!B:B,"Not found")</f>
        <v>Prairie View Residences</v>
      </c>
      <c r="C10" s="6">
        <f>_xlfn.XLOOKUP(A10,'[1]01_input_asset_master'!A:A,'[1]01_input_asset_master'!I:I,"Not found")</f>
        <v>120</v>
      </c>
      <c r="D10" s="13">
        <f>_xlfn.XLOOKUP(A10,'[1]01_input_asset_master'!A:A,'[1]01_input_asset_master'!J:J,"Not found")</f>
        <v>0.92</v>
      </c>
      <c r="E10" s="7">
        <f>_xlfn.XLOOKUP(A10,'[1]21_input_affordability_context'!A:A,'[1]21_input_affordability_context'!H:H,"Not found")</f>
        <v>1200</v>
      </c>
      <c r="F10" s="8">
        <f>_xlfn.XLOOKUP(A10,'[1]21_input_affordability_context'!A:A,'[1]21_input_affordability_context'!K:K,"Not found")</f>
        <v>130</v>
      </c>
      <c r="G10" s="14">
        <f t="shared" si="0"/>
        <v>1330</v>
      </c>
      <c r="H10" s="7">
        <f>_xlfn.XLOOKUP(A10,'[1]21_input_affordability_context'!A:A,'[1]21_input_affordability_context'!I:I,"Not found")</f>
        <v>54000</v>
      </c>
      <c r="I10" s="15">
        <f t="shared" si="1"/>
        <v>4500</v>
      </c>
      <c r="J10" s="16">
        <f t="shared" si="2"/>
        <v>0.29555555555555557</v>
      </c>
      <c r="K10" s="17">
        <f t="shared" si="3"/>
        <v>2.8888888888888888E-2</v>
      </c>
      <c r="L10" s="18">
        <f>_xlfn.XLOOKUP(A10,'[1]11_calc_energy_summary'!A:A,'[1]11_calc_energy_summary'!Q:Q,"Not found")</f>
        <v>1.3750391818181817</v>
      </c>
      <c r="M10" s="19">
        <f>_xlfn.XLOOKUP(A10,'[1]12_calc_water_summary'!A:A,'[1]12_calc_water_summary'!K:K,"Not found")</f>
        <v>555.49183333333326</v>
      </c>
      <c r="N10" s="19">
        <f>_xlfn.XLOOKUP(A10,'[1]13_calc_waste_summary'!A:A,'[1]13_calc_waste_summary'!N:N,"Not found")</f>
        <v>131.26666666666668</v>
      </c>
      <c r="O10" s="18">
        <f t="shared" si="4"/>
        <v>688.13353918181815</v>
      </c>
      <c r="P10" s="2" t="str">
        <f t="shared" si="5"/>
        <v>Tenant Utility Exposure</v>
      </c>
      <c r="Q10" s="20" t="str">
        <f t="shared" si="6"/>
        <v>Owner Utility Exposure</v>
      </c>
      <c r="R10" s="21" t="str">
        <f t="shared" si="7"/>
        <v>Low</v>
      </c>
      <c r="S10" s="22" t="str">
        <f t="shared" si="8"/>
        <v>Lower Burden Risk</v>
      </c>
      <c r="T10" s="20" t="str">
        <f t="shared" si="9"/>
        <v>Lower Utility Burden</v>
      </c>
      <c r="U10" s="22" t="str">
        <f t="shared" si="10"/>
        <v>Affordable-Heavy Property</v>
      </c>
      <c r="V10" s="20" t="str">
        <f t="shared" si="11"/>
        <v>Lower Pass-Through Risk</v>
      </c>
      <c r="W10" s="11">
        <f t="shared" si="12"/>
        <v>5</v>
      </c>
      <c r="X10" s="22" t="str">
        <f t="shared" si="13"/>
        <v>Lower Affordability Pressure</v>
      </c>
      <c r="Y10" s="22" t="str">
        <f t="shared" si="14"/>
        <v>Monitor</v>
      </c>
      <c r="Z10" s="22" t="str">
        <f t="shared" si="15"/>
        <v>Maintain affordability monitoring</v>
      </c>
      <c r="AA10" s="2">
        <f t="shared" si="16"/>
        <v>5</v>
      </c>
      <c r="AB10" s="22" t="str">
        <f t="shared" si="17"/>
        <v>Monitor</v>
      </c>
    </row>
    <row r="11" spans="1:28" ht="29.25">
      <c r="A11" s="3" t="s">
        <v>40</v>
      </c>
      <c r="B11" s="4" t="str">
        <f>_xlfn.XLOOKUP(A11,'[1]01_input_asset_master'!A:A,'[1]01_input_asset_master'!B:B,"Not found")</f>
        <v>Capitol Square Homes</v>
      </c>
      <c r="C11" s="6">
        <f>_xlfn.XLOOKUP(A11,'[1]01_input_asset_master'!A:A,'[1]01_input_asset_master'!I:I,"Not found")</f>
        <v>190</v>
      </c>
      <c r="D11" s="13">
        <f>_xlfn.XLOOKUP(A11,'[1]01_input_asset_master'!A:A,'[1]01_input_asset_master'!J:J,"Not found")</f>
        <v>0.98</v>
      </c>
      <c r="E11" s="7">
        <f>_xlfn.XLOOKUP(A11,'[1]21_input_affordability_context'!A:A,'[1]21_input_affordability_context'!H:H,"Not found")</f>
        <v>1750</v>
      </c>
      <c r="F11" s="8">
        <f>_xlfn.XLOOKUP(A11,'[1]21_input_affordability_context'!A:A,'[1]21_input_affordability_context'!K:K,"Not found")</f>
        <v>105</v>
      </c>
      <c r="G11" s="14">
        <f t="shared" si="0"/>
        <v>1855</v>
      </c>
      <c r="H11" s="7">
        <f>_xlfn.XLOOKUP(A11,'[1]21_input_affordability_context'!A:A,'[1]21_input_affordability_context'!I:I,"Not found")</f>
        <v>78000</v>
      </c>
      <c r="I11" s="15">
        <f t="shared" si="1"/>
        <v>6500</v>
      </c>
      <c r="J11" s="16">
        <f t="shared" si="2"/>
        <v>0.2853846153846154</v>
      </c>
      <c r="K11" s="17">
        <f t="shared" si="3"/>
        <v>1.6153846153846154E-2</v>
      </c>
      <c r="L11" s="18">
        <f>_xlfn.XLOOKUP(A11,'[1]11_calc_energy_summary'!A:A,'[1]11_calc_energy_summary'!Q:Q,"Not found")</f>
        <v>1.2349711428571428</v>
      </c>
      <c r="M11" s="19">
        <f>_xlfn.XLOOKUP(A11,'[1]12_calc_water_summary'!A:A,'[1]12_calc_water_summary'!K:K,"Not found")</f>
        <v>490.84989473684203</v>
      </c>
      <c r="N11" s="19">
        <f>_xlfn.XLOOKUP(A11,'[1]13_calc_waste_summary'!A:A,'[1]13_calc_waste_summary'!N:N,"Not found")</f>
        <v>138.30526315789473</v>
      </c>
      <c r="O11" s="18">
        <f t="shared" si="4"/>
        <v>630.39012903759385</v>
      </c>
      <c r="P11" s="2" t="str">
        <f t="shared" si="5"/>
        <v>Tenant Utility Exposure</v>
      </c>
      <c r="Q11" s="20" t="str">
        <f t="shared" si="6"/>
        <v>Owner Utility Exposure</v>
      </c>
      <c r="R11" s="21" t="str">
        <f t="shared" si="7"/>
        <v>Low</v>
      </c>
      <c r="S11" s="22" t="str">
        <f t="shared" si="8"/>
        <v>Lower Burden Risk</v>
      </c>
      <c r="T11" s="20" t="str">
        <f t="shared" si="9"/>
        <v>Lower Utility Burden</v>
      </c>
      <c r="U11" s="22" t="str">
        <f t="shared" si="10"/>
        <v>Affordable-Heavy Property</v>
      </c>
      <c r="V11" s="20" t="str">
        <f t="shared" si="11"/>
        <v>Lower Pass-Through Risk</v>
      </c>
      <c r="W11" s="11">
        <f t="shared" si="12"/>
        <v>5</v>
      </c>
      <c r="X11" s="22" t="str">
        <f t="shared" si="13"/>
        <v>Lower Affordability Pressure</v>
      </c>
      <c r="Y11" s="22" t="str">
        <f t="shared" si="14"/>
        <v>Monitor</v>
      </c>
      <c r="Z11" s="22" t="str">
        <f t="shared" si="15"/>
        <v>Maintain affordability monitoring</v>
      </c>
      <c r="AA11" s="2">
        <f t="shared" si="16"/>
        <v>5</v>
      </c>
      <c r="AB11" s="22" t="str">
        <f t="shared" si="17"/>
        <v>Monitor</v>
      </c>
    </row>
    <row r="12" spans="1:28">
      <c r="M12" s="23"/>
      <c r="N12" s="23"/>
      <c r="O12" s="8"/>
      <c r="P12" s="7"/>
      <c r="Q12" s="7"/>
      <c r="R12" s="8"/>
      <c r="W12" s="11"/>
    </row>
    <row r="13" spans="1:28">
      <c r="M13" s="23"/>
      <c r="N13" s="23"/>
      <c r="O13" s="8"/>
      <c r="P13" s="7"/>
      <c r="Q13" s="7"/>
      <c r="R13" s="8"/>
    </row>
    <row r="14" spans="1:28">
      <c r="M14" s="23"/>
      <c r="N14" s="23"/>
      <c r="O14" s="8"/>
      <c r="P14" s="7"/>
      <c r="Q14" s="7"/>
      <c r="R14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DDAF-D445-4376-A0C7-9546B1B596C4}">
  <dimension ref="A1:S11"/>
  <sheetViews>
    <sheetView workbookViewId="0">
      <selection activeCell="I43" sqref="I43"/>
    </sheetView>
  </sheetViews>
  <sheetFormatPr defaultRowHeight="14.25"/>
  <cols>
    <col min="1" max="1" width="14.28515625" style="2" customWidth="1"/>
    <col min="2" max="2" width="15.28515625" style="2" customWidth="1"/>
    <col min="3" max="18" width="14.28515625" style="2" customWidth="1"/>
    <col min="19" max="16384" width="9.140625" style="2"/>
  </cols>
  <sheetData>
    <row r="1" spans="1:19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28.5">
      <c r="A2" s="3" t="s">
        <v>19</v>
      </c>
      <c r="B2" s="4" t="str">
        <f>_xlfn.XLOOKUP(A2,'[1]01_input_asset_master'!A$2:A$11,'[1]01_input_asset_master'!B$2:B$11)</f>
        <v>Riverbend Apartments</v>
      </c>
      <c r="C2" s="5" t="s">
        <v>20</v>
      </c>
      <c r="D2" s="5" t="s">
        <v>21</v>
      </c>
      <c r="E2" s="5" t="s">
        <v>22</v>
      </c>
      <c r="F2" s="6">
        <v>240</v>
      </c>
      <c r="H2" s="7">
        <v>1450</v>
      </c>
      <c r="I2" s="7">
        <v>76000</v>
      </c>
      <c r="K2" s="8">
        <v>120</v>
      </c>
    </row>
    <row r="3" spans="1:19" ht="28.5">
      <c r="A3" s="9" t="s">
        <v>23</v>
      </c>
      <c r="B3" s="4" t="str">
        <f>_xlfn.XLOOKUP(A3,'[1]01_input_asset_master'!A$2:A$11,'[1]01_input_asset_master'!B$2:B$11)</f>
        <v>Lakeview Terrace</v>
      </c>
      <c r="C3" s="10" t="s">
        <v>24</v>
      </c>
      <c r="D3" s="10" t="s">
        <v>24</v>
      </c>
      <c r="E3" s="10" t="s">
        <v>22</v>
      </c>
      <c r="F3" s="11">
        <v>210</v>
      </c>
      <c r="H3" s="7">
        <v>1050</v>
      </c>
      <c r="I3" s="7">
        <v>47000</v>
      </c>
      <c r="K3" s="8">
        <v>150</v>
      </c>
    </row>
    <row r="4" spans="1:19" ht="28.5">
      <c r="A4" s="3" t="s">
        <v>25</v>
      </c>
      <c r="B4" s="4" t="str">
        <f>_xlfn.XLOOKUP(A4,'[1]01_input_asset_master'!A$2:A$11,'[1]01_input_asset_master'!B$2:B$11)</f>
        <v>Northside Commons</v>
      </c>
      <c r="C4" s="5" t="s">
        <v>26</v>
      </c>
      <c r="D4" s="5" t="s">
        <v>27</v>
      </c>
      <c r="E4" s="5" t="s">
        <v>22</v>
      </c>
      <c r="F4" s="11">
        <v>175</v>
      </c>
      <c r="H4" s="7">
        <v>1350</v>
      </c>
      <c r="I4" s="7">
        <v>62000</v>
      </c>
      <c r="K4" s="8">
        <v>125</v>
      </c>
    </row>
    <row r="5" spans="1:19" ht="28.5">
      <c r="A5" s="9" t="s">
        <v>28</v>
      </c>
      <c r="B5" s="4" t="str">
        <f>_xlfn.XLOOKUP(A5,'[1]01_input_asset_master'!A$2:A$11,'[1]01_input_asset_master'!B$2:B$11)</f>
        <v>Badger Ridge Homes</v>
      </c>
      <c r="C5" s="10" t="s">
        <v>29</v>
      </c>
      <c r="D5" s="10" t="s">
        <v>30</v>
      </c>
      <c r="E5" s="10" t="s">
        <v>22</v>
      </c>
      <c r="F5" s="11">
        <v>130</v>
      </c>
      <c r="H5" s="7">
        <v>1150</v>
      </c>
      <c r="I5" s="7">
        <v>56000</v>
      </c>
      <c r="K5" s="8">
        <v>135</v>
      </c>
    </row>
    <row r="6" spans="1:19" ht="28.5">
      <c r="A6" s="3" t="s">
        <v>31</v>
      </c>
      <c r="B6" s="4" t="str">
        <f>_xlfn.XLOOKUP(A6,'[1]01_input_asset_master'!A$2:A$11,'[1]01_input_asset_master'!B$2:B$11)</f>
        <v>Oak Street Lofts</v>
      </c>
      <c r="C6" s="5" t="s">
        <v>32</v>
      </c>
      <c r="D6" s="5" t="s">
        <v>32</v>
      </c>
      <c r="E6" s="5" t="s">
        <v>22</v>
      </c>
      <c r="F6" s="11">
        <v>180</v>
      </c>
      <c r="H6" s="7">
        <v>1600</v>
      </c>
      <c r="I6" s="7">
        <v>69000</v>
      </c>
      <c r="K6" s="8">
        <v>110</v>
      </c>
    </row>
    <row r="7" spans="1:19" ht="28.5">
      <c r="A7" s="9" t="s">
        <v>33</v>
      </c>
      <c r="B7" s="4" t="str">
        <f>_xlfn.XLOOKUP(A7,'[1]01_input_asset_master'!A$2:A$11,'[1]01_input_asset_master'!B$2:B$11)</f>
        <v>South Park Apartments</v>
      </c>
      <c r="C7" s="10" t="s">
        <v>34</v>
      </c>
      <c r="D7" s="10" t="s">
        <v>34</v>
      </c>
      <c r="E7" s="10" t="s">
        <v>22</v>
      </c>
      <c r="F7" s="11">
        <v>160</v>
      </c>
      <c r="H7" s="7">
        <v>1025</v>
      </c>
      <c r="I7" s="7">
        <v>43000</v>
      </c>
      <c r="K7" s="8">
        <v>155</v>
      </c>
    </row>
    <row r="8" spans="1:19">
      <c r="A8" s="3" t="s">
        <v>35</v>
      </c>
      <c r="B8" s="4" t="str">
        <f>_xlfn.XLOOKUP(A8,'[1]01_input_asset_master'!A$2:A$11,'[1]01_input_asset_master'!B$2:B$11)</f>
        <v>Fox River Flats</v>
      </c>
      <c r="C8" s="5" t="s">
        <v>36</v>
      </c>
      <c r="D8" s="5" t="s">
        <v>37</v>
      </c>
      <c r="E8" s="5" t="s">
        <v>22</v>
      </c>
      <c r="F8" s="11">
        <v>105</v>
      </c>
      <c r="H8" s="7">
        <v>1400</v>
      </c>
      <c r="I8" s="7">
        <v>65000</v>
      </c>
      <c r="K8" s="8">
        <v>120</v>
      </c>
    </row>
    <row r="9" spans="1:19" ht="28.5">
      <c r="A9" s="9" t="s">
        <v>38</v>
      </c>
      <c r="B9" s="4" t="str">
        <f>_xlfn.XLOOKUP(A9,'[1]01_input_asset_master'!A$2:A$11,'[1]01_input_asset_master'!B$2:B$11)</f>
        <v>Prairie View Residences</v>
      </c>
      <c r="C9" s="10" t="s">
        <v>39</v>
      </c>
      <c r="D9" s="10" t="s">
        <v>39</v>
      </c>
      <c r="E9" s="10" t="s">
        <v>22</v>
      </c>
      <c r="F9" s="11">
        <v>150</v>
      </c>
      <c r="H9" s="7">
        <v>1200</v>
      </c>
      <c r="I9" s="7">
        <v>54000</v>
      </c>
      <c r="K9" s="8">
        <v>130</v>
      </c>
    </row>
    <row r="10" spans="1:19" ht="28.5">
      <c r="A10" s="3" t="s">
        <v>40</v>
      </c>
      <c r="B10" s="4" t="str">
        <f>_xlfn.XLOOKUP(A10,'[1]01_input_asset_master'!A$2:A$11,'[1]01_input_asset_master'!B$2:B$11)</f>
        <v>Capitol Square Homes</v>
      </c>
      <c r="C10" s="5" t="s">
        <v>20</v>
      </c>
      <c r="D10" s="5" t="s">
        <v>21</v>
      </c>
      <c r="E10" s="5" t="s">
        <v>22</v>
      </c>
      <c r="F10" s="11">
        <v>120</v>
      </c>
      <c r="H10" s="7">
        <v>1750</v>
      </c>
      <c r="I10" s="7">
        <v>78000</v>
      </c>
      <c r="K10" s="8">
        <v>105</v>
      </c>
    </row>
    <row r="11" spans="1:19" ht="28.5">
      <c r="A11" s="9" t="s">
        <v>41</v>
      </c>
      <c r="B11" s="4" t="str">
        <f>_xlfn.XLOOKUP(A11,'[1]01_input_asset_master'!A$2:A$11,'[1]01_input_asset_master'!B$2:B$11)</f>
        <v>Harbor Point Apartments</v>
      </c>
      <c r="C11" s="10" t="s">
        <v>42</v>
      </c>
      <c r="D11" s="10" t="s">
        <v>42</v>
      </c>
      <c r="E11" s="10" t="s">
        <v>22</v>
      </c>
      <c r="F11" s="11">
        <v>190</v>
      </c>
      <c r="H11" s="7">
        <v>1100</v>
      </c>
      <c r="I11" s="7">
        <v>50000</v>
      </c>
      <c r="K11" s="8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1B0A-24C7-481A-B4F4-D59B24A9274A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22_calc_affordability_screening</vt:lpstr>
      <vt:lpstr>21_input_affordability_context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Veisi</dc:creator>
  <cp:lastModifiedBy>Hadi Veisi</cp:lastModifiedBy>
  <dcterms:created xsi:type="dcterms:W3CDTF">2026-07-18T12:47:05Z</dcterms:created>
  <dcterms:modified xsi:type="dcterms:W3CDTF">2026-07-18T12:49:08Z</dcterms:modified>
</cp:coreProperties>
</file>