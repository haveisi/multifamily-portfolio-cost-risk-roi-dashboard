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d23e16fde91b61c5/D/ESG/multifamily-portfolio-roi-dashboard/data/"/>
    </mc:Choice>
  </mc:AlternateContent>
  <xr:revisionPtr revIDLastSave="4" documentId="8_{6E7D2669-0794-4726-85CD-BBAEC3CF1FBB}" xr6:coauthVersionLast="47" xr6:coauthVersionMax="47" xr10:uidLastSave="{CE5F85ED-C087-400D-A7BE-3A002D95C021}"/>
  <bookViews>
    <workbookView xWindow="-120" yWindow="-120" windowWidth="29040" windowHeight="15720" tabRatio="849" firstSheet="15" activeTab="19" xr2:uid="{00000000-000D-0000-FFFF-FFFF00000000}"/>
  </bookViews>
  <sheets>
    <sheet name="01_input_asset_master" sheetId="1" r:id="rId1"/>
    <sheet name="02_input_energy_monthly" sheetId="2" r:id="rId2"/>
    <sheet name="11_calc_energy_summary" sheetId="12" r:id="rId3"/>
    <sheet name="03_input_water_monthly" sheetId="3" r:id="rId4"/>
    <sheet name="12_calc_water_summary" sheetId="16" r:id="rId5"/>
    <sheet name="04_input_waste_monthly" sheetId="4" r:id="rId6"/>
    <sheet name="13_calc_waste_summary" sheetId="17" r:id="rId7"/>
    <sheet name="05_input_emission_factors" sheetId="5" r:id="rId8"/>
    <sheet name="14_calc_emissions_summary" sheetId="18" r:id="rId9"/>
    <sheet name="06_input_benchmark_data" sheetId="6" r:id="rId10"/>
    <sheet name="15_calc_integrated_priority" sheetId="19" r:id="rId11"/>
    <sheet name="18_output_executive_summary" sheetId="20" r:id="rId12"/>
    <sheet name="07_input_community_acs" sheetId="7" r:id="rId13"/>
    <sheet name="08_input_climate_risk_fema" sheetId="8" r:id="rId14"/>
    <sheet name="09_input_ej_cejst" sheetId="9" r:id="rId15"/>
    <sheet name="10_input_retrofit_options" sheetId="10" r:id="rId16"/>
    <sheet name="16_calc_retrofit_finance" sheetId="22" r:id="rId17"/>
    <sheet name="17_output_investment_summary" sheetId="23" r:id="rId18"/>
    <sheet name="19_output_gresb_readiness" sheetId="11" r:id="rId19"/>
    <sheet name="20_output_dashboard_plan" sheetId="26" r:id="rId2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23" l="1"/>
  <c r="E4" i="23"/>
  <c r="E5" i="23"/>
  <c r="E6" i="23"/>
  <c r="E7" i="23"/>
  <c r="E8" i="23"/>
  <c r="E9" i="23"/>
  <c r="E10" i="23"/>
  <c r="E2" i="23"/>
  <c r="K4" i="23" a="1"/>
  <c r="K4" i="23" s="1"/>
  <c r="M5" i="23" a="1"/>
  <c r="M5" i="23" s="1"/>
  <c r="N5" i="23" s="1"/>
  <c r="F7" i="23" a="1"/>
  <c r="F7" i="23" s="1"/>
  <c r="I8" i="23" a="1"/>
  <c r="I8" i="23" s="1"/>
  <c r="M3" i="23" a="1"/>
  <c r="M3" i="23" s="1"/>
  <c r="N3" i="23" s="1"/>
  <c r="M4" i="23" a="1"/>
  <c r="M4" i="23" s="1"/>
  <c r="N4" i="23" s="1"/>
  <c r="M6" i="23" a="1"/>
  <c r="M6" i="23" s="1"/>
  <c r="N6" i="23" s="1"/>
  <c r="M7" i="23" a="1"/>
  <c r="M7" i="23" s="1"/>
  <c r="N7" i="23" s="1"/>
  <c r="M9" i="23" a="1"/>
  <c r="M9" i="23" s="1"/>
  <c r="N9" i="23" s="1"/>
  <c r="L3" i="23" a="1"/>
  <c r="L3" i="23"/>
  <c r="L4" i="23" a="1"/>
  <c r="L4" i="23" s="1"/>
  <c r="L5" i="23" a="1"/>
  <c r="L5" i="23" s="1"/>
  <c r="L6" i="23" a="1"/>
  <c r="L6" i="23" s="1"/>
  <c r="L8" i="23" a="1"/>
  <c r="L8" i="23" s="1"/>
  <c r="L9" i="23" a="1"/>
  <c r="L9" i="23" s="1"/>
  <c r="L10" i="23" a="1"/>
  <c r="L10" i="23" s="1"/>
  <c r="K3" i="23" a="1"/>
  <c r="K3" i="23" s="1"/>
  <c r="K6" i="23" a="1"/>
  <c r="K6" i="23" s="1"/>
  <c r="K7" i="23" a="1"/>
  <c r="K7" i="23" s="1"/>
  <c r="K9" i="23" a="1"/>
  <c r="K9" i="23" s="1"/>
  <c r="J3" i="23" a="1"/>
  <c r="J3" i="23" s="1"/>
  <c r="J4" i="23" a="1"/>
  <c r="J4" i="23" s="1"/>
  <c r="J5" i="23" a="1"/>
  <c r="J5" i="23" s="1"/>
  <c r="J6" i="23" a="1"/>
  <c r="J6" i="23" s="1"/>
  <c r="J7" i="23" a="1"/>
  <c r="J7" i="23" s="1"/>
  <c r="J9" i="23" a="1"/>
  <c r="J9" i="23"/>
  <c r="J10" i="23" a="1"/>
  <c r="J10" i="23" s="1"/>
  <c r="I3" i="23" a="1"/>
  <c r="I3" i="23" s="1"/>
  <c r="I4" i="23" a="1"/>
  <c r="I4" i="23" s="1"/>
  <c r="I5" i="23" a="1"/>
  <c r="I5" i="23" s="1"/>
  <c r="I6" i="23" a="1"/>
  <c r="I6" i="23" s="1"/>
  <c r="I7" i="23" a="1"/>
  <c r="I7" i="23" s="1"/>
  <c r="I9" i="23" a="1"/>
  <c r="I9" i="23" s="1"/>
  <c r="I10" i="23" a="1"/>
  <c r="I10" i="23" s="1"/>
  <c r="H3" i="23" a="1"/>
  <c r="H3" i="23" s="1"/>
  <c r="H4" i="23" a="1"/>
  <c r="H4" i="23" s="1"/>
  <c r="H6" i="23" a="1"/>
  <c r="H6" i="23" s="1"/>
  <c r="H9" i="23" a="1"/>
  <c r="H9" i="23" s="1"/>
  <c r="H10" i="23" a="1"/>
  <c r="H10" i="23" s="1"/>
  <c r="G3" i="23" a="1"/>
  <c r="G3" i="23" s="1"/>
  <c r="G4" i="23" a="1"/>
  <c r="G4" i="23"/>
  <c r="G5" i="23" a="1"/>
  <c r="G5" i="23" s="1"/>
  <c r="G6" i="23" a="1"/>
  <c r="G6" i="23" s="1"/>
  <c r="G7" i="23" a="1"/>
  <c r="G7" i="23" s="1"/>
  <c r="G9" i="23" a="1"/>
  <c r="G9" i="23" s="1"/>
  <c r="G10" i="23" a="1"/>
  <c r="G10" i="23" s="1"/>
  <c r="F3" i="23" a="1"/>
  <c r="F3" i="23" s="1"/>
  <c r="F4" i="23" a="1"/>
  <c r="F4" i="23" s="1"/>
  <c r="F5" i="23" a="1"/>
  <c r="F5" i="23"/>
  <c r="F6" i="23" a="1"/>
  <c r="F6" i="23" s="1"/>
  <c r="F9" i="23" a="1"/>
  <c r="F9" i="23"/>
  <c r="F10" i="23" a="1"/>
  <c r="F10" i="23" s="1"/>
  <c r="C3" i="23"/>
  <c r="C4" i="23"/>
  <c r="C5" i="23"/>
  <c r="C6" i="23"/>
  <c r="C7" i="23"/>
  <c r="C8" i="23"/>
  <c r="C9" i="23"/>
  <c r="C10" i="23"/>
  <c r="C2" i="23"/>
  <c r="W3" i="22"/>
  <c r="W4" i="22"/>
  <c r="W5" i="22"/>
  <c r="W6" i="22"/>
  <c r="W7" i="22"/>
  <c r="W8" i="22"/>
  <c r="W9" i="22"/>
  <c r="W10" i="22"/>
  <c r="W11" i="22"/>
  <c r="W12" i="22"/>
  <c r="W13" i="22"/>
  <c r="W2" i="22"/>
  <c r="V3" i="22"/>
  <c r="V4" i="22"/>
  <c r="V5" i="22"/>
  <c r="V6" i="22"/>
  <c r="V7" i="22"/>
  <c r="V8" i="22"/>
  <c r="V9" i="22"/>
  <c r="V10" i="22"/>
  <c r="V11" i="22"/>
  <c r="V12" i="22"/>
  <c r="V13" i="22"/>
  <c r="V2" i="22"/>
  <c r="U3" i="22"/>
  <c r="U4" i="22"/>
  <c r="U5" i="22"/>
  <c r="U6" i="22"/>
  <c r="U7" i="22"/>
  <c r="U8" i="22"/>
  <c r="U9" i="22"/>
  <c r="U10" i="22"/>
  <c r="U11" i="22"/>
  <c r="U12" i="22"/>
  <c r="U13" i="22"/>
  <c r="U2" i="22"/>
  <c r="Q2" i="22"/>
  <c r="O3" i="22"/>
  <c r="Q3" i="22" s="1"/>
  <c r="O4" i="22"/>
  <c r="O5" i="22"/>
  <c r="Q5" i="22" s="1"/>
  <c r="O6" i="22"/>
  <c r="Q6" i="22" s="1"/>
  <c r="O7" i="22"/>
  <c r="Q7" i="22" s="1"/>
  <c r="O8" i="22"/>
  <c r="Q8" i="22" s="1"/>
  <c r="O9" i="22"/>
  <c r="Q9" i="22" s="1"/>
  <c r="O10" i="22"/>
  <c r="Q10" i="22" s="1"/>
  <c r="O11" i="22"/>
  <c r="Q11" i="22" s="1"/>
  <c r="O12" i="22"/>
  <c r="Q12" i="22" s="1"/>
  <c r="O13" i="22"/>
  <c r="Q13" i="22" s="1"/>
  <c r="O14" i="22"/>
  <c r="Q14" i="22" s="1"/>
  <c r="O2" i="22"/>
  <c r="N14" i="22"/>
  <c r="P14" i="22" s="1"/>
  <c r="U14" i="22" s="1"/>
  <c r="M3" i="22"/>
  <c r="M4" i="22"/>
  <c r="M5" i="22"/>
  <c r="M6" i="22"/>
  <c r="M7" i="22"/>
  <c r="M8" i="22"/>
  <c r="N8" i="22" s="1"/>
  <c r="M9" i="22"/>
  <c r="M10" i="22"/>
  <c r="N10" i="22" s="1"/>
  <c r="M11" i="22"/>
  <c r="M12" i="22"/>
  <c r="M13" i="22"/>
  <c r="M14" i="22"/>
  <c r="M2" i="22"/>
  <c r="L3" i="22"/>
  <c r="N3" i="22" s="1"/>
  <c r="L4" i="22"/>
  <c r="N4" i="22" s="1"/>
  <c r="L5" i="22"/>
  <c r="L6" i="22"/>
  <c r="L7" i="22"/>
  <c r="L8" i="22"/>
  <c r="L9" i="22"/>
  <c r="L10" i="22"/>
  <c r="L11" i="22"/>
  <c r="N11" i="22" s="1"/>
  <c r="L12" i="22"/>
  <c r="N12" i="22" s="1"/>
  <c r="P12" i="22" s="1"/>
  <c r="L13" i="22"/>
  <c r="N13" i="22" s="1"/>
  <c r="P13" i="22" s="1"/>
  <c r="L14" i="22"/>
  <c r="L2" i="22"/>
  <c r="N2" i="22" s="1"/>
  <c r="P2" i="22" s="1"/>
  <c r="G3" i="22"/>
  <c r="G4" i="22"/>
  <c r="Q4" i="22" s="1"/>
  <c r="G5" i="22"/>
  <c r="G6" i="22"/>
  <c r="G7" i="22"/>
  <c r="G8" i="22"/>
  <c r="G9" i="22"/>
  <c r="G10" i="22"/>
  <c r="G11" i="22"/>
  <c r="G12" i="22"/>
  <c r="G13" i="22"/>
  <c r="G14" i="22"/>
  <c r="G2" i="22"/>
  <c r="AB2" i="19"/>
  <c r="AB3" i="19"/>
  <c r="AB4" i="19"/>
  <c r="AB5" i="19"/>
  <c r="AB6" i="19"/>
  <c r="AB7" i="19"/>
  <c r="AB8" i="19"/>
  <c r="AB9" i="19"/>
  <c r="AB10" i="19"/>
  <c r="AB11" i="19"/>
  <c r="AE3" i="19"/>
  <c r="AE4" i="19"/>
  <c r="AE5" i="19"/>
  <c r="AE6" i="19"/>
  <c r="AE7" i="19"/>
  <c r="AE8" i="19"/>
  <c r="AE9" i="19"/>
  <c r="AE10" i="19"/>
  <c r="AE11" i="19"/>
  <c r="AE2" i="19"/>
  <c r="AC3" i="19"/>
  <c r="AC4" i="19"/>
  <c r="AC5" i="19"/>
  <c r="AC6" i="19"/>
  <c r="AC7" i="19"/>
  <c r="AC8" i="19"/>
  <c r="AC9" i="19"/>
  <c r="AC10" i="19"/>
  <c r="AC11" i="19"/>
  <c r="AC2" i="19"/>
  <c r="N3" i="19"/>
  <c r="N4" i="19"/>
  <c r="N5" i="19"/>
  <c r="N6" i="19"/>
  <c r="N7" i="19"/>
  <c r="N8" i="19"/>
  <c r="N9" i="19"/>
  <c r="N10" i="19"/>
  <c r="N11" i="19"/>
  <c r="N2" i="19"/>
  <c r="O2" i="19"/>
  <c r="O3" i="19"/>
  <c r="O4" i="19"/>
  <c r="O5" i="19"/>
  <c r="O6" i="19"/>
  <c r="O7" i="19"/>
  <c r="O8" i="19"/>
  <c r="O9" i="19"/>
  <c r="O10" i="19"/>
  <c r="O11" i="19"/>
  <c r="W6" i="19"/>
  <c r="W2" i="19"/>
  <c r="W7" i="19"/>
  <c r="W5" i="19"/>
  <c r="W8" i="19"/>
  <c r="W3" i="19"/>
  <c r="W9" i="19"/>
  <c r="W10" i="19"/>
  <c r="W11" i="19"/>
  <c r="W4" i="19"/>
  <c r="F2" i="19"/>
  <c r="AD2" i="19" s="1"/>
  <c r="F7" i="19"/>
  <c r="AD7" i="19" s="1"/>
  <c r="F5" i="19"/>
  <c r="AD5" i="19" s="1"/>
  <c r="F8" i="19"/>
  <c r="AD8" i="19" s="1"/>
  <c r="F3" i="19"/>
  <c r="AD3" i="19" s="1"/>
  <c r="F9" i="19"/>
  <c r="AD9" i="19" s="1"/>
  <c r="F10" i="19"/>
  <c r="AD10" i="19" s="1"/>
  <c r="F11" i="19"/>
  <c r="AD11" i="19" s="1"/>
  <c r="F4" i="19"/>
  <c r="F6" i="19"/>
  <c r="AD6" i="19" s="1"/>
  <c r="E6" i="19"/>
  <c r="E2" i="19"/>
  <c r="E7" i="19"/>
  <c r="E5" i="19"/>
  <c r="E8" i="19"/>
  <c r="E3" i="19"/>
  <c r="E9" i="19"/>
  <c r="E10" i="19"/>
  <c r="E11" i="19"/>
  <c r="E4" i="19"/>
  <c r="L6" i="19"/>
  <c r="L2" i="19"/>
  <c r="L7" i="19"/>
  <c r="L5" i="19"/>
  <c r="L8" i="19"/>
  <c r="L3" i="19"/>
  <c r="L9" i="19"/>
  <c r="L10" i="19"/>
  <c r="L11" i="19"/>
  <c r="L4" i="19"/>
  <c r="J6" i="19"/>
  <c r="J2" i="19"/>
  <c r="J7" i="19"/>
  <c r="J5" i="19"/>
  <c r="J8" i="19"/>
  <c r="J3" i="19"/>
  <c r="J9" i="19"/>
  <c r="J10" i="19"/>
  <c r="J11" i="19"/>
  <c r="J4" i="19"/>
  <c r="U6" i="19"/>
  <c r="U2" i="19"/>
  <c r="U7" i="19"/>
  <c r="U5" i="19"/>
  <c r="U8" i="19"/>
  <c r="U3" i="19"/>
  <c r="U9" i="19"/>
  <c r="U10" i="19"/>
  <c r="U11" i="19"/>
  <c r="U4" i="19"/>
  <c r="S6" i="19"/>
  <c r="S2" i="19"/>
  <c r="S7" i="19"/>
  <c r="S5" i="19"/>
  <c r="S8" i="19"/>
  <c r="S3" i="19"/>
  <c r="S9" i="19"/>
  <c r="S10" i="19"/>
  <c r="S11" i="19"/>
  <c r="S4" i="19"/>
  <c r="Y2" i="19"/>
  <c r="Y7" i="19"/>
  <c r="Y5" i="19"/>
  <c r="Y8" i="19"/>
  <c r="Y3" i="19"/>
  <c r="Y9" i="19"/>
  <c r="Y10" i="19"/>
  <c r="Y11" i="19"/>
  <c r="Y4" i="19"/>
  <c r="Y6" i="19"/>
  <c r="X2" i="19"/>
  <c r="X7" i="19"/>
  <c r="X5" i="19"/>
  <c r="X8" i="19"/>
  <c r="X3" i="19"/>
  <c r="X9" i="19"/>
  <c r="X10" i="19"/>
  <c r="X11" i="19"/>
  <c r="X4" i="19"/>
  <c r="X6" i="19"/>
  <c r="V2" i="19"/>
  <c r="V7" i="19"/>
  <c r="V5" i="19"/>
  <c r="V8" i="19"/>
  <c r="V3" i="19"/>
  <c r="V9" i="19"/>
  <c r="V10" i="19"/>
  <c r="V11" i="19"/>
  <c r="V4" i="19"/>
  <c r="V6" i="19"/>
  <c r="T2" i="19"/>
  <c r="T7" i="19"/>
  <c r="T5" i="19"/>
  <c r="T8" i="19"/>
  <c r="T3" i="19"/>
  <c r="T9" i="19"/>
  <c r="T10" i="19"/>
  <c r="T11" i="19"/>
  <c r="T4" i="19"/>
  <c r="T6" i="19"/>
  <c r="R2" i="19"/>
  <c r="R7" i="19"/>
  <c r="R5" i="19"/>
  <c r="R8" i="19"/>
  <c r="R3" i="19"/>
  <c r="R9" i="19"/>
  <c r="R10" i="19"/>
  <c r="R11" i="19"/>
  <c r="R4" i="19"/>
  <c r="R6" i="19"/>
  <c r="Q2" i="19"/>
  <c r="Q7" i="19"/>
  <c r="Q5" i="19"/>
  <c r="Q8" i="19"/>
  <c r="Q3" i="19"/>
  <c r="Q9" i="19"/>
  <c r="Q10" i="19"/>
  <c r="Q11" i="19"/>
  <c r="Q4" i="19"/>
  <c r="Q6" i="19"/>
  <c r="P2" i="19"/>
  <c r="P7" i="19"/>
  <c r="P5" i="19"/>
  <c r="P8" i="19"/>
  <c r="P3" i="19"/>
  <c r="P9" i="19"/>
  <c r="P10" i="19"/>
  <c r="P11" i="19"/>
  <c r="P4" i="19"/>
  <c r="P6" i="19"/>
  <c r="M2" i="19"/>
  <c r="M7" i="19"/>
  <c r="M5" i="19"/>
  <c r="M8" i="19"/>
  <c r="M3" i="19"/>
  <c r="M9" i="19"/>
  <c r="M10" i="19"/>
  <c r="M11" i="19"/>
  <c r="M4" i="19"/>
  <c r="M6" i="19"/>
  <c r="K2" i="19"/>
  <c r="K7" i="19"/>
  <c r="K5" i="19"/>
  <c r="K8" i="19"/>
  <c r="K3" i="19"/>
  <c r="K9" i="19"/>
  <c r="K10" i="19"/>
  <c r="K11" i="19"/>
  <c r="K4" i="19"/>
  <c r="K6" i="19"/>
  <c r="I2" i="19"/>
  <c r="I7" i="19"/>
  <c r="I5" i="19"/>
  <c r="I8" i="19"/>
  <c r="I3" i="19"/>
  <c r="I9" i="19"/>
  <c r="I10" i="19"/>
  <c r="I11" i="19"/>
  <c r="I4" i="19"/>
  <c r="I6" i="19"/>
  <c r="G2" i="19"/>
  <c r="G7" i="19"/>
  <c r="G5" i="19"/>
  <c r="G8" i="19"/>
  <c r="G3" i="19"/>
  <c r="G9" i="19"/>
  <c r="G10" i="19"/>
  <c r="G11" i="19"/>
  <c r="G4" i="19"/>
  <c r="G6" i="19"/>
  <c r="D6" i="19"/>
  <c r="D2" i="19"/>
  <c r="D7" i="19"/>
  <c r="D5" i="19"/>
  <c r="D8" i="19"/>
  <c r="D3" i="19"/>
  <c r="D9" i="19"/>
  <c r="D10" i="19"/>
  <c r="D11" i="19"/>
  <c r="D4" i="19"/>
  <c r="C2" i="19"/>
  <c r="C7" i="19"/>
  <c r="C5" i="19"/>
  <c r="C8" i="19"/>
  <c r="C3" i="19"/>
  <c r="C9" i="19"/>
  <c r="C10" i="19"/>
  <c r="C11" i="19"/>
  <c r="C4" i="19"/>
  <c r="C6" i="19"/>
  <c r="B2" i="19"/>
  <c r="B7" i="19"/>
  <c r="B5" i="19"/>
  <c r="B8" i="19"/>
  <c r="B3" i="19"/>
  <c r="B9" i="19"/>
  <c r="B10" i="19"/>
  <c r="B11" i="19"/>
  <c r="B4" i="19"/>
  <c r="B6" i="19"/>
  <c r="R3" i="18"/>
  <c r="R4" i="18"/>
  <c r="R5" i="18"/>
  <c r="R6" i="18"/>
  <c r="R7" i="18"/>
  <c r="R8" i="18"/>
  <c r="R9" i="18"/>
  <c r="R10" i="18"/>
  <c r="R11" i="18"/>
  <c r="R2" i="18"/>
  <c r="Q3" i="18"/>
  <c r="Q4" i="18"/>
  <c r="Q5" i="18"/>
  <c r="Q6" i="18"/>
  <c r="Q7" i="18"/>
  <c r="Q8" i="18"/>
  <c r="Q9" i="18"/>
  <c r="Q10" i="18"/>
  <c r="Q11" i="18"/>
  <c r="Q2" i="18"/>
  <c r="P3" i="18"/>
  <c r="P4" i="18"/>
  <c r="P5" i="18"/>
  <c r="P6" i="18"/>
  <c r="P7" i="18"/>
  <c r="P8" i="18"/>
  <c r="P9" i="18"/>
  <c r="P10" i="18"/>
  <c r="P11" i="18"/>
  <c r="P2" i="18"/>
  <c r="O3" i="18"/>
  <c r="O4" i="18"/>
  <c r="O5" i="18"/>
  <c r="O6" i="18"/>
  <c r="O7" i="18"/>
  <c r="O8" i="18"/>
  <c r="O9" i="18"/>
  <c r="O10" i="18"/>
  <c r="O11" i="18"/>
  <c r="O2" i="18"/>
  <c r="N3" i="18"/>
  <c r="N4" i="18"/>
  <c r="N5" i="18"/>
  <c r="N6" i="18"/>
  <c r="N7" i="18"/>
  <c r="N8" i="18"/>
  <c r="N9" i="18"/>
  <c r="N10" i="18"/>
  <c r="N11" i="18"/>
  <c r="N2" i="18"/>
  <c r="M3" i="18"/>
  <c r="M4" i="18"/>
  <c r="M5" i="18"/>
  <c r="M6" i="18"/>
  <c r="M7" i="18"/>
  <c r="M8" i="18"/>
  <c r="M9" i="18"/>
  <c r="M10" i="18"/>
  <c r="M11" i="18"/>
  <c r="M2" i="18"/>
  <c r="L3" i="18"/>
  <c r="L4" i="18"/>
  <c r="L5" i="18"/>
  <c r="L6" i="18"/>
  <c r="L7" i="18"/>
  <c r="L8" i="18"/>
  <c r="L9" i="18"/>
  <c r="L10" i="18"/>
  <c r="L11" i="18"/>
  <c r="L2" i="18"/>
  <c r="K3" i="18"/>
  <c r="K4" i="18"/>
  <c r="K5" i="18"/>
  <c r="K6" i="18"/>
  <c r="K7" i="18"/>
  <c r="K8" i="18"/>
  <c r="K9" i="18"/>
  <c r="K10" i="18"/>
  <c r="K11" i="18"/>
  <c r="K2" i="18"/>
  <c r="J3" i="18"/>
  <c r="J4" i="18"/>
  <c r="J5" i="18"/>
  <c r="J6" i="18"/>
  <c r="J7" i="18"/>
  <c r="J8" i="18"/>
  <c r="J9" i="18"/>
  <c r="J10" i="18"/>
  <c r="J11" i="18"/>
  <c r="J2" i="18"/>
  <c r="I3" i="18"/>
  <c r="I4" i="18"/>
  <c r="I5" i="18"/>
  <c r="I6" i="18"/>
  <c r="I7" i="18"/>
  <c r="I8" i="18"/>
  <c r="I9" i="18"/>
  <c r="I10" i="18"/>
  <c r="I11" i="18"/>
  <c r="I2" i="18"/>
  <c r="H3" i="18"/>
  <c r="H4" i="18"/>
  <c r="H5" i="18"/>
  <c r="H6" i="18"/>
  <c r="H7" i="18"/>
  <c r="H8" i="18"/>
  <c r="H9" i="18"/>
  <c r="H10" i="18"/>
  <c r="H11" i="18"/>
  <c r="H2" i="18"/>
  <c r="G3" i="18"/>
  <c r="G4" i="18"/>
  <c r="G5" i="18"/>
  <c r="G6" i="18"/>
  <c r="G7" i="18"/>
  <c r="G8" i="18"/>
  <c r="G9" i="18"/>
  <c r="G10" i="18"/>
  <c r="G11" i="18"/>
  <c r="G2" i="18"/>
  <c r="F3" i="18"/>
  <c r="F4" i="18"/>
  <c r="F5" i="18"/>
  <c r="F6" i="18"/>
  <c r="F7" i="18"/>
  <c r="F8" i="18"/>
  <c r="F9" i="18"/>
  <c r="F10" i="18"/>
  <c r="F11" i="18"/>
  <c r="F2" i="18"/>
  <c r="E3" i="18"/>
  <c r="E4" i="18"/>
  <c r="E5" i="18"/>
  <c r="E6" i="18"/>
  <c r="E7" i="18"/>
  <c r="E8" i="18"/>
  <c r="E9" i="18"/>
  <c r="E10" i="18"/>
  <c r="E11" i="18"/>
  <c r="E2" i="18"/>
  <c r="D3" i="18"/>
  <c r="D4" i="18"/>
  <c r="D5" i="18"/>
  <c r="D6" i="18"/>
  <c r="D7" i="18"/>
  <c r="D8" i="18"/>
  <c r="D9" i="18"/>
  <c r="D10" i="18"/>
  <c r="D11" i="18"/>
  <c r="D2" i="18"/>
  <c r="C3" i="18"/>
  <c r="C4" i="18"/>
  <c r="C5" i="18"/>
  <c r="C6" i="18"/>
  <c r="C7" i="18"/>
  <c r="C8" i="18"/>
  <c r="C9" i="18"/>
  <c r="C10" i="18"/>
  <c r="C11" i="18"/>
  <c r="C2" i="18"/>
  <c r="B3" i="18"/>
  <c r="B4" i="18"/>
  <c r="B5" i="18"/>
  <c r="B6" i="18"/>
  <c r="B7" i="18"/>
  <c r="B8" i="18"/>
  <c r="B9" i="18"/>
  <c r="B10" i="18"/>
  <c r="B11" i="18"/>
  <c r="B2" i="18"/>
  <c r="V3" i="17"/>
  <c r="V4" i="17"/>
  <c r="V5" i="17"/>
  <c r="V6" i="17"/>
  <c r="V7" i="17"/>
  <c r="V8" i="17"/>
  <c r="V9" i="17"/>
  <c r="V10" i="17"/>
  <c r="V11" i="17"/>
  <c r="V2" i="17"/>
  <c r="U3" i="17"/>
  <c r="U4" i="17"/>
  <c r="U5" i="17"/>
  <c r="U6" i="17"/>
  <c r="U7" i="17"/>
  <c r="U8" i="17"/>
  <c r="U9" i="17"/>
  <c r="U10" i="17"/>
  <c r="U11" i="17"/>
  <c r="U2" i="17"/>
  <c r="T3" i="17"/>
  <c r="T4" i="17"/>
  <c r="T5" i="17"/>
  <c r="T6" i="17"/>
  <c r="T7" i="17"/>
  <c r="T8" i="17"/>
  <c r="T9" i="17"/>
  <c r="T10" i="17"/>
  <c r="T11" i="17"/>
  <c r="T2" i="17"/>
  <c r="F3" i="17"/>
  <c r="F4" i="17"/>
  <c r="F5" i="17"/>
  <c r="J5" i="17" s="1"/>
  <c r="F6" i="17"/>
  <c r="J6" i="17" s="1"/>
  <c r="F7" i="17"/>
  <c r="J7" i="17" s="1"/>
  <c r="F8" i="17"/>
  <c r="J8" i="17" s="1"/>
  <c r="F9" i="17"/>
  <c r="F10" i="17"/>
  <c r="F11" i="17"/>
  <c r="H11" i="17" s="1"/>
  <c r="F2" i="17"/>
  <c r="E3" i="17"/>
  <c r="E4" i="17"/>
  <c r="E5" i="17"/>
  <c r="E6" i="17"/>
  <c r="E7" i="17"/>
  <c r="H7" i="17" s="1"/>
  <c r="E8" i="17"/>
  <c r="E9" i="17"/>
  <c r="E10" i="17"/>
  <c r="E11" i="17"/>
  <c r="E2" i="17"/>
  <c r="R10" i="17"/>
  <c r="O3" i="17"/>
  <c r="O4" i="17"/>
  <c r="O5" i="17"/>
  <c r="O6" i="17"/>
  <c r="O7" i="17"/>
  <c r="O8" i="17"/>
  <c r="O9" i="17"/>
  <c r="O10" i="17"/>
  <c r="O11" i="17"/>
  <c r="O2" i="17"/>
  <c r="I3" i="17"/>
  <c r="I4" i="17"/>
  <c r="I5" i="17"/>
  <c r="I6" i="17"/>
  <c r="I7" i="17"/>
  <c r="N7" i="17" s="1"/>
  <c r="I8" i="17"/>
  <c r="I9" i="17"/>
  <c r="N9" i="17" s="1"/>
  <c r="I10" i="17"/>
  <c r="I11" i="17"/>
  <c r="N11" i="17" s="1"/>
  <c r="I2" i="17"/>
  <c r="H3" i="17"/>
  <c r="K3" i="17" s="1"/>
  <c r="S3" i="17" s="1"/>
  <c r="H4" i="17"/>
  <c r="M4" i="17" s="1"/>
  <c r="H5" i="17"/>
  <c r="M5" i="17" s="1"/>
  <c r="H9" i="17"/>
  <c r="M9" i="17" s="1"/>
  <c r="H10" i="17"/>
  <c r="S10" i="17"/>
  <c r="Q3" i="17"/>
  <c r="Q4" i="17"/>
  <c r="Q5" i="17"/>
  <c r="Q6" i="17"/>
  <c r="Q7" i="17"/>
  <c r="Q8" i="17"/>
  <c r="Q9" i="17"/>
  <c r="Q10" i="17"/>
  <c r="Q11" i="17"/>
  <c r="Q2" i="17"/>
  <c r="P3" i="17"/>
  <c r="P4" i="17"/>
  <c r="P5" i="17"/>
  <c r="P6" i="17"/>
  <c r="P7" i="17"/>
  <c r="P8" i="17"/>
  <c r="P9" i="17"/>
  <c r="P10" i="17"/>
  <c r="P11" i="17"/>
  <c r="P2" i="17"/>
  <c r="N3" i="17"/>
  <c r="N4" i="17"/>
  <c r="N5" i="17"/>
  <c r="N6" i="17"/>
  <c r="N8" i="17"/>
  <c r="N10" i="17"/>
  <c r="M3" i="17"/>
  <c r="M10" i="17"/>
  <c r="L3" i="17"/>
  <c r="R3" i="17" s="1"/>
  <c r="L4" i="17"/>
  <c r="R4" i="17" s="1"/>
  <c r="L10" i="17"/>
  <c r="K10" i="17"/>
  <c r="J3" i="17"/>
  <c r="J4" i="17"/>
  <c r="J9" i="17"/>
  <c r="J10" i="17"/>
  <c r="J2" i="17"/>
  <c r="G3" i="17"/>
  <c r="G4" i="17"/>
  <c r="G5" i="17"/>
  <c r="G6" i="17"/>
  <c r="G7" i="17"/>
  <c r="G8" i="17"/>
  <c r="G9" i="17"/>
  <c r="G10" i="17"/>
  <c r="G11" i="17"/>
  <c r="G2" i="17"/>
  <c r="D3" i="17"/>
  <c r="D4" i="17"/>
  <c r="D5" i="17"/>
  <c r="D6" i="17"/>
  <c r="D7" i="17"/>
  <c r="D8" i="17"/>
  <c r="D9" i="17"/>
  <c r="D10" i="17"/>
  <c r="D11" i="17"/>
  <c r="D2" i="17"/>
  <c r="C3" i="17"/>
  <c r="C4" i="17"/>
  <c r="C5" i="17"/>
  <c r="C6" i="17"/>
  <c r="C7" i="17"/>
  <c r="C8" i="17"/>
  <c r="C9" i="17"/>
  <c r="C10" i="17"/>
  <c r="C11" i="17"/>
  <c r="C2" i="17"/>
  <c r="B2" i="17"/>
  <c r="B3" i="17"/>
  <c r="B4" i="17"/>
  <c r="B5" i="17"/>
  <c r="B6" i="17"/>
  <c r="B7" i="17"/>
  <c r="B8" i="17"/>
  <c r="B9" i="17"/>
  <c r="B10" i="17"/>
  <c r="B11" i="17"/>
  <c r="U3" i="16"/>
  <c r="U4" i="16"/>
  <c r="U5" i="16"/>
  <c r="U6" i="16"/>
  <c r="U7" i="16"/>
  <c r="U8" i="16"/>
  <c r="U9" i="16"/>
  <c r="U10" i="16"/>
  <c r="U11" i="16"/>
  <c r="U2" i="16"/>
  <c r="T3" i="16"/>
  <c r="T4" i="16"/>
  <c r="T5" i="16"/>
  <c r="T6" i="16"/>
  <c r="T7" i="16"/>
  <c r="T8" i="16"/>
  <c r="T9" i="16"/>
  <c r="T10" i="16"/>
  <c r="T11" i="16"/>
  <c r="T2" i="16"/>
  <c r="S3" i="16"/>
  <c r="S4" i="16"/>
  <c r="S5" i="16"/>
  <c r="S6" i="16"/>
  <c r="S7" i="16"/>
  <c r="S8" i="16"/>
  <c r="S9" i="16"/>
  <c r="S10" i="16"/>
  <c r="S11" i="16"/>
  <c r="S2" i="16"/>
  <c r="R3" i="16"/>
  <c r="R4" i="16"/>
  <c r="R5" i="16"/>
  <c r="R6" i="16"/>
  <c r="R7" i="16"/>
  <c r="R8" i="16"/>
  <c r="R9" i="16"/>
  <c r="R10" i="16"/>
  <c r="R11" i="16"/>
  <c r="R2" i="16"/>
  <c r="Q3" i="16"/>
  <c r="Q4" i="16"/>
  <c r="Q5" i="16"/>
  <c r="Q6" i="16"/>
  <c r="Q7" i="16"/>
  <c r="Q8" i="16"/>
  <c r="Q9" i="16"/>
  <c r="Q10" i="16"/>
  <c r="Q11" i="16"/>
  <c r="Q2" i="16"/>
  <c r="P3" i="16"/>
  <c r="P4" i="16"/>
  <c r="P5" i="16"/>
  <c r="P6" i="16"/>
  <c r="P7" i="16"/>
  <c r="P8" i="16"/>
  <c r="P9" i="16"/>
  <c r="P10" i="16"/>
  <c r="P11" i="16"/>
  <c r="P2" i="16"/>
  <c r="O3" i="16"/>
  <c r="O4" i="16"/>
  <c r="O5" i="16"/>
  <c r="O6" i="16"/>
  <c r="O7" i="16"/>
  <c r="O8" i="16"/>
  <c r="O9" i="16"/>
  <c r="O10" i="16"/>
  <c r="O11" i="16"/>
  <c r="O2" i="16"/>
  <c r="N3" i="16"/>
  <c r="N4" i="16"/>
  <c r="N5" i="16"/>
  <c r="N6" i="16"/>
  <c r="N7" i="16"/>
  <c r="N8" i="16"/>
  <c r="N9" i="16"/>
  <c r="N10" i="16"/>
  <c r="N11" i="16"/>
  <c r="N2" i="16"/>
  <c r="M3" i="16"/>
  <c r="M4" i="16"/>
  <c r="M5" i="16"/>
  <c r="M6" i="16"/>
  <c r="M7" i="16"/>
  <c r="M8" i="16"/>
  <c r="M9" i="16"/>
  <c r="M10" i="16"/>
  <c r="M11" i="16"/>
  <c r="M2" i="16"/>
  <c r="L3" i="16"/>
  <c r="L4" i="16"/>
  <c r="L5" i="16"/>
  <c r="L6" i="16"/>
  <c r="L7" i="16"/>
  <c r="L8" i="16"/>
  <c r="L9" i="16"/>
  <c r="L10" i="16"/>
  <c r="L11" i="16"/>
  <c r="L2" i="16"/>
  <c r="K3" i="16"/>
  <c r="K4" i="16"/>
  <c r="K5" i="16"/>
  <c r="K6" i="16"/>
  <c r="K7" i="16"/>
  <c r="K8" i="16"/>
  <c r="K9" i="16"/>
  <c r="K10" i="16"/>
  <c r="K11" i="16"/>
  <c r="K2" i="16"/>
  <c r="J3" i="16"/>
  <c r="J4" i="16"/>
  <c r="J5" i="16"/>
  <c r="J6" i="16"/>
  <c r="J7" i="16"/>
  <c r="J8" i="16"/>
  <c r="J9" i="16"/>
  <c r="J10" i="16"/>
  <c r="J11" i="16"/>
  <c r="J2" i="16"/>
  <c r="I4" i="16"/>
  <c r="I5" i="16"/>
  <c r="I6" i="16"/>
  <c r="I7" i="16"/>
  <c r="I8" i="16"/>
  <c r="I9" i="16"/>
  <c r="I10" i="16"/>
  <c r="I11" i="16"/>
  <c r="I3" i="16"/>
  <c r="I2" i="16"/>
  <c r="H3" i="16"/>
  <c r="H4" i="16"/>
  <c r="H5" i="16"/>
  <c r="H6" i="16"/>
  <c r="H7" i="16"/>
  <c r="H8" i="16"/>
  <c r="H9" i="16"/>
  <c r="H10" i="16"/>
  <c r="H11" i="16"/>
  <c r="H2" i="16"/>
  <c r="G3" i="16"/>
  <c r="G4" i="16"/>
  <c r="G5" i="16"/>
  <c r="G6" i="16"/>
  <c r="G7" i="16"/>
  <c r="G8" i="16"/>
  <c r="G9" i="16"/>
  <c r="G10" i="16"/>
  <c r="G11" i="16"/>
  <c r="G2" i="16"/>
  <c r="E2" i="16"/>
  <c r="E3" i="16"/>
  <c r="E4" i="16"/>
  <c r="E5" i="16"/>
  <c r="E6" i="16"/>
  <c r="E7" i="16"/>
  <c r="E8" i="16"/>
  <c r="E9" i="16"/>
  <c r="E10" i="16"/>
  <c r="E11" i="16"/>
  <c r="F3" i="16"/>
  <c r="F4" i="16"/>
  <c r="F5" i="16"/>
  <c r="F6" i="16"/>
  <c r="F7" i="16"/>
  <c r="F8" i="16"/>
  <c r="F9" i="16"/>
  <c r="F10" i="16"/>
  <c r="F11" i="16"/>
  <c r="F2" i="16"/>
  <c r="C2" i="16"/>
  <c r="C3" i="16"/>
  <c r="C4" i="16"/>
  <c r="C5" i="16"/>
  <c r="C6" i="16"/>
  <c r="C7" i="16"/>
  <c r="C8" i="16"/>
  <c r="C9" i="16"/>
  <c r="C10" i="16"/>
  <c r="C11" i="16"/>
  <c r="G20" i="16"/>
  <c r="D3" i="16"/>
  <c r="D4" i="16"/>
  <c r="D5" i="16"/>
  <c r="D6" i="16"/>
  <c r="D7" i="16"/>
  <c r="D8" i="16"/>
  <c r="D9" i="16"/>
  <c r="D10" i="16"/>
  <c r="D11" i="16"/>
  <c r="D2" i="16"/>
  <c r="B3" i="16"/>
  <c r="B4" i="16"/>
  <c r="B5" i="16"/>
  <c r="B6" i="16"/>
  <c r="B7" i="16"/>
  <c r="B8" i="16"/>
  <c r="B9" i="16"/>
  <c r="B10" i="16"/>
  <c r="B11" i="16"/>
  <c r="B2" i="16"/>
  <c r="Y2" i="12"/>
  <c r="Y3" i="12"/>
  <c r="Y4" i="12"/>
  <c r="Y5" i="12"/>
  <c r="Y6" i="12"/>
  <c r="Y7" i="12"/>
  <c r="Y8" i="12"/>
  <c r="Y9" i="12"/>
  <c r="Y10" i="12"/>
  <c r="Y11" i="12"/>
  <c r="W2" i="12"/>
  <c r="W3" i="12"/>
  <c r="W4" i="12"/>
  <c r="W5" i="12"/>
  <c r="W6" i="12"/>
  <c r="W7" i="12"/>
  <c r="W8" i="12"/>
  <c r="W9" i="12"/>
  <c r="W10" i="12"/>
  <c r="W11" i="12"/>
  <c r="S3" i="12"/>
  <c r="S4" i="12"/>
  <c r="S5" i="12"/>
  <c r="S6" i="12"/>
  <c r="S7" i="12"/>
  <c r="S8" i="12"/>
  <c r="S9" i="12"/>
  <c r="S10" i="12"/>
  <c r="S11" i="12"/>
  <c r="S2" i="12"/>
  <c r="R2" i="12"/>
  <c r="R3" i="12"/>
  <c r="R4" i="12"/>
  <c r="R5" i="12"/>
  <c r="R6" i="12"/>
  <c r="R7" i="12"/>
  <c r="R8" i="12"/>
  <c r="R9" i="12"/>
  <c r="R10" i="12"/>
  <c r="R11" i="12"/>
  <c r="Q10" i="12"/>
  <c r="Q11" i="12"/>
  <c r="O2" i="12"/>
  <c r="O3" i="12"/>
  <c r="O4" i="12"/>
  <c r="O5" i="12"/>
  <c r="O6" i="12"/>
  <c r="O7" i="12"/>
  <c r="O8" i="12"/>
  <c r="O9" i="12"/>
  <c r="O10" i="12"/>
  <c r="O11" i="12"/>
  <c r="N2" i="12"/>
  <c r="N3" i="12"/>
  <c r="N4" i="12"/>
  <c r="N5" i="12"/>
  <c r="N6" i="12"/>
  <c r="N7" i="12"/>
  <c r="N8" i="12"/>
  <c r="N9" i="12"/>
  <c r="N10" i="12"/>
  <c r="N11" i="12"/>
  <c r="E3" i="12"/>
  <c r="E4" i="12"/>
  <c r="E5" i="12"/>
  <c r="E6" i="12"/>
  <c r="E7" i="12"/>
  <c r="J7" i="12" s="1"/>
  <c r="E8" i="12"/>
  <c r="J8" i="12" s="1"/>
  <c r="E9" i="12"/>
  <c r="E10" i="12"/>
  <c r="E11" i="12"/>
  <c r="J3" i="12"/>
  <c r="L3" i="12" s="1"/>
  <c r="M3" i="12" s="1"/>
  <c r="J4" i="12"/>
  <c r="E2" i="12"/>
  <c r="J2" i="12" s="1"/>
  <c r="F3" i="12"/>
  <c r="F4" i="12"/>
  <c r="F5" i="12"/>
  <c r="F6" i="12"/>
  <c r="F7" i="12"/>
  <c r="F8" i="12"/>
  <c r="F9" i="12"/>
  <c r="F10" i="12"/>
  <c r="F11" i="12"/>
  <c r="K11" i="12" s="1"/>
  <c r="F2" i="12"/>
  <c r="K2" i="12" s="1"/>
  <c r="T2" i="12"/>
  <c r="T3" i="12"/>
  <c r="T4" i="12"/>
  <c r="T5" i="12"/>
  <c r="T6" i="12"/>
  <c r="T7" i="12"/>
  <c r="T8" i="12"/>
  <c r="T9" i="12"/>
  <c r="T10" i="12"/>
  <c r="T11" i="12"/>
  <c r="K3" i="12"/>
  <c r="K4" i="12"/>
  <c r="K5" i="12"/>
  <c r="K6" i="12"/>
  <c r="K7" i="12"/>
  <c r="K8" i="12"/>
  <c r="K9" i="12"/>
  <c r="K10" i="12"/>
  <c r="J5" i="12"/>
  <c r="J6" i="12"/>
  <c r="J9" i="12"/>
  <c r="J10" i="12"/>
  <c r="J11" i="12"/>
  <c r="I2" i="12"/>
  <c r="Q2" i="12" s="1"/>
  <c r="I3" i="12"/>
  <c r="P3" i="12" s="1"/>
  <c r="I4" i="12"/>
  <c r="P4" i="12" s="1"/>
  <c r="I5" i="12"/>
  <c r="P5" i="12" s="1"/>
  <c r="I6" i="12"/>
  <c r="P6" i="12" s="1"/>
  <c r="I7" i="12"/>
  <c r="P7" i="12" s="1"/>
  <c r="I8" i="12"/>
  <c r="P8" i="12" s="1"/>
  <c r="I9" i="12"/>
  <c r="P9" i="12" s="1"/>
  <c r="I10" i="12"/>
  <c r="P10" i="12" s="1"/>
  <c r="I11" i="12"/>
  <c r="P11" i="12" s="1"/>
  <c r="H2" i="12"/>
  <c r="H3" i="12"/>
  <c r="H4" i="12"/>
  <c r="H5" i="12"/>
  <c r="H6" i="12"/>
  <c r="H7" i="12"/>
  <c r="H8" i="12"/>
  <c r="H9" i="12"/>
  <c r="H10" i="12"/>
  <c r="H11" i="12"/>
  <c r="G2" i="12"/>
  <c r="G3" i="12"/>
  <c r="G4" i="12"/>
  <c r="G5" i="12"/>
  <c r="G6" i="12"/>
  <c r="G7" i="12"/>
  <c r="G8" i="12"/>
  <c r="G9" i="12"/>
  <c r="G10" i="12"/>
  <c r="G11" i="12"/>
  <c r="D2" i="12"/>
  <c r="D3" i="12"/>
  <c r="D4" i="12"/>
  <c r="D5" i="12"/>
  <c r="D6" i="12"/>
  <c r="D7" i="12"/>
  <c r="D8" i="12"/>
  <c r="D9" i="12"/>
  <c r="D10" i="12"/>
  <c r="D11" i="12"/>
  <c r="C2" i="12"/>
  <c r="C3" i="12"/>
  <c r="C4" i="12"/>
  <c r="C5" i="12"/>
  <c r="C6" i="12"/>
  <c r="C7" i="12"/>
  <c r="C8" i="12"/>
  <c r="C9" i="12"/>
  <c r="C10" i="12"/>
  <c r="C11" i="12"/>
  <c r="B2" i="12"/>
  <c r="B3" i="12"/>
  <c r="B4" i="12"/>
  <c r="B5" i="12"/>
  <c r="B6" i="12"/>
  <c r="B7" i="12"/>
  <c r="B8" i="12"/>
  <c r="B9" i="12"/>
  <c r="B10" i="12"/>
  <c r="B11" i="12"/>
  <c r="M10" i="23" l="1" a="1"/>
  <c r="M10" i="23" s="1"/>
  <c r="N10" i="23" s="1"/>
  <c r="V14" i="22"/>
  <c r="K5" i="23" a="1"/>
  <c r="K5" i="23" s="1"/>
  <c r="K8" i="23" a="1"/>
  <c r="K8" i="23" s="1"/>
  <c r="H8" i="23" a="1"/>
  <c r="H8" i="23" s="1"/>
  <c r="H5" i="23" a="1"/>
  <c r="H5" i="23" s="1"/>
  <c r="M8" i="23" a="1"/>
  <c r="M8" i="23" s="1"/>
  <c r="N8" i="23" s="1"/>
  <c r="H7" i="23" a="1"/>
  <c r="H7" i="23" s="1"/>
  <c r="G8" i="23" a="1"/>
  <c r="G8" i="23" s="1"/>
  <c r="J8" i="23" a="1"/>
  <c r="J8" i="23" s="1"/>
  <c r="F8" i="23" a="1"/>
  <c r="F8" i="23" s="1"/>
  <c r="L7" i="23" a="1"/>
  <c r="L7" i="23" s="1"/>
  <c r="N9" i="22"/>
  <c r="N7" i="22"/>
  <c r="N6" i="22"/>
  <c r="N5" i="22"/>
  <c r="R11" i="22"/>
  <c r="S11" i="22" s="1"/>
  <c r="P11" i="22"/>
  <c r="R6" i="22"/>
  <c r="S6" i="22" s="1"/>
  <c r="P6" i="22"/>
  <c r="P5" i="22"/>
  <c r="R5" i="22"/>
  <c r="S5" i="22" s="1"/>
  <c r="R7" i="22"/>
  <c r="S7" i="22" s="1"/>
  <c r="P7" i="22"/>
  <c r="P8" i="22"/>
  <c r="R8" i="22"/>
  <c r="S8" i="22" s="1"/>
  <c r="R9" i="22"/>
  <c r="S9" i="22" s="1"/>
  <c r="P9" i="22"/>
  <c r="P4" i="22"/>
  <c r="R4" i="22"/>
  <c r="S4" i="22" s="1"/>
  <c r="R3" i="22"/>
  <c r="S3" i="22" s="1"/>
  <c r="P3" i="22"/>
  <c r="P10" i="22"/>
  <c r="R10" i="22"/>
  <c r="S10" i="22" s="1"/>
  <c r="R2" i="22"/>
  <c r="S2" i="22" s="1"/>
  <c r="R13" i="22"/>
  <c r="S13" i="22" s="1"/>
  <c r="R14" i="22"/>
  <c r="S14" i="22" s="1"/>
  <c r="R12" i="22"/>
  <c r="S12" i="22" s="1"/>
  <c r="Z4" i="19"/>
  <c r="AD4" i="19"/>
  <c r="Z3" i="19"/>
  <c r="AA5" i="19" s="1"/>
  <c r="Z8" i="19"/>
  <c r="Z11" i="19"/>
  <c r="Z5" i="19"/>
  <c r="Z2" i="19"/>
  <c r="Z7" i="19"/>
  <c r="Z10" i="19"/>
  <c r="Z6" i="19"/>
  <c r="Z9" i="19"/>
  <c r="H6" i="19"/>
  <c r="H5" i="19"/>
  <c r="H9" i="19"/>
  <c r="H8" i="19"/>
  <c r="H3" i="19"/>
  <c r="H2" i="19"/>
  <c r="H4" i="19"/>
  <c r="H11" i="19"/>
  <c r="H10" i="19"/>
  <c r="H7" i="19"/>
  <c r="M11" i="17"/>
  <c r="L11" i="17"/>
  <c r="R11" i="17" s="1"/>
  <c r="H8" i="17"/>
  <c r="K8" i="17" s="1"/>
  <c r="S8" i="17" s="1"/>
  <c r="H6" i="17"/>
  <c r="M6" i="17" s="1"/>
  <c r="K9" i="17"/>
  <c r="S9" i="17" s="1"/>
  <c r="K5" i="17"/>
  <c r="S5" i="17" s="1"/>
  <c r="K4" i="17"/>
  <c r="S4" i="17" s="1"/>
  <c r="J11" i="17"/>
  <c r="K11" i="17" s="1"/>
  <c r="S11" i="17" s="1"/>
  <c r="L5" i="17"/>
  <c r="R5" i="17" s="1"/>
  <c r="H2" i="17"/>
  <c r="M7" i="17"/>
  <c r="L7" i="17"/>
  <c r="R7" i="17" s="1"/>
  <c r="K7" i="17"/>
  <c r="S7" i="17" s="1"/>
  <c r="M8" i="17"/>
  <c r="L8" i="17"/>
  <c r="R8" i="17" s="1"/>
  <c r="L9" i="17"/>
  <c r="R9" i="17" s="1"/>
  <c r="L2" i="17"/>
  <c r="R2" i="17" s="1"/>
  <c r="M2" i="17"/>
  <c r="K2" i="17"/>
  <c r="S2" i="17" s="1"/>
  <c r="N2" i="17"/>
  <c r="K6" i="17"/>
  <c r="S6" i="17" s="1"/>
  <c r="Q4" i="12"/>
  <c r="Q3" i="12"/>
  <c r="Q9" i="12"/>
  <c r="Q8" i="12"/>
  <c r="Q7" i="12"/>
  <c r="P2" i="12"/>
  <c r="Q6" i="12"/>
  <c r="Q5" i="12"/>
  <c r="L10" i="12"/>
  <c r="L4" i="12"/>
  <c r="L9" i="12"/>
  <c r="L8" i="12"/>
  <c r="L7" i="12"/>
  <c r="L6" i="12"/>
  <c r="L11" i="12"/>
  <c r="L5" i="12"/>
  <c r="M5" i="12" s="1"/>
  <c r="L2" i="12"/>
  <c r="V5" i="12"/>
  <c r="U3" i="12"/>
  <c r="V3" i="12"/>
  <c r="K10" i="23" l="1" a="1"/>
  <c r="K10" i="23" s="1"/>
  <c r="W14" i="22"/>
  <c r="AA6" i="19"/>
  <c r="AA7" i="19"/>
  <c r="AA3" i="19"/>
  <c r="AA11" i="19"/>
  <c r="AA8" i="19"/>
  <c r="AA4" i="19"/>
  <c r="AA9" i="19"/>
  <c r="AA2" i="19"/>
  <c r="AA10" i="19"/>
  <c r="L6" i="17"/>
  <c r="R6" i="17" s="1"/>
  <c r="U5" i="12"/>
  <c r="M2" i="12"/>
  <c r="M11" i="12"/>
  <c r="M6" i="12"/>
  <c r="M7" i="12"/>
  <c r="M8" i="12"/>
  <c r="M9" i="12"/>
  <c r="M4" i="12"/>
  <c r="M10" i="12"/>
  <c r="V7" i="12"/>
  <c r="V8" i="12"/>
  <c r="U9" i="12"/>
  <c r="V10" i="12"/>
  <c r="V4" i="12"/>
  <c r="U10" i="12" l="1"/>
  <c r="X10" i="12"/>
  <c r="U4" i="12"/>
  <c r="X4" i="12"/>
  <c r="V9" i="12"/>
  <c r="X9" i="12"/>
  <c r="U8" i="12"/>
  <c r="X8" i="12"/>
  <c r="U7" i="12"/>
  <c r="X7" i="12"/>
  <c r="V6" i="12"/>
  <c r="X6" i="12"/>
  <c r="U11" i="12"/>
  <c r="X11" i="12"/>
  <c r="U2" i="12"/>
  <c r="X2" i="12"/>
  <c r="X3" i="12"/>
  <c r="X5" i="12"/>
  <c r="U6" i="12"/>
  <c r="V11" i="12"/>
  <c r="V2" i="12"/>
  <c r="K2" i="23" a="1"/>
  <c r="K2" i="23" s="1"/>
  <c r="F2" i="23"/>
  <c r="F2" i="23" a="1"/>
  <c r="G2" i="23" a="1"/>
  <c r="G2" i="23" s="1"/>
  <c r="M2" i="23" a="1"/>
  <c r="M2" i="23" s="1"/>
  <c r="N2" i="23" s="1"/>
  <c r="L2" i="23" a="1"/>
  <c r="L2" i="23" s="1"/>
  <c r="H2" i="23" a="1"/>
  <c r="H2" i="23" s="1"/>
  <c r="J2" i="23" a="1"/>
  <c r="J2" i="23" s="1"/>
  <c r="I2" i="23" a="1"/>
  <c r="I2" i="2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<sst xmlns="http://schemas.openxmlformats.org/spreadsheetml/2006/main" count="6588" uniqueCount="1220">
  <si>
    <t>property_id</t>
  </si>
  <si>
    <t>property_name</t>
  </si>
  <si>
    <t>city</t>
  </si>
  <si>
    <t>county</t>
  </si>
  <si>
    <t>state</t>
  </si>
  <si>
    <t>property_type</t>
  </si>
  <si>
    <t>year_built</t>
  </si>
  <si>
    <t>gross_floor_area_sqft</t>
  </si>
  <si>
    <t>units</t>
  </si>
  <si>
    <t>occupancy_rate</t>
  </si>
  <si>
    <t>affordable_units_pct</t>
  </si>
  <si>
    <t>WI-MF-01</t>
  </si>
  <si>
    <t>Riverbend Apartments</t>
  </si>
  <si>
    <t>Madison</t>
  </si>
  <si>
    <t>Dane</t>
  </si>
  <si>
    <t>WI</t>
  </si>
  <si>
    <t>Multifamily</t>
  </si>
  <si>
    <t>WI-MF-02</t>
  </si>
  <si>
    <t>Lakeview Terrace</t>
  </si>
  <si>
    <t>Milwaukee</t>
  </si>
  <si>
    <t>WI-MF-03</t>
  </si>
  <si>
    <t>Northside Commons</t>
  </si>
  <si>
    <t>Green Bay</t>
  </si>
  <si>
    <t>Brown</t>
  </si>
  <si>
    <t>WI-MF-04</t>
  </si>
  <si>
    <t>Badger Ridge Homes</t>
  </si>
  <si>
    <t>Wausau</t>
  </si>
  <si>
    <t>Marathon</t>
  </si>
  <si>
    <t>WI-MF-05</t>
  </si>
  <si>
    <t>Oak Street Lofts</t>
  </si>
  <si>
    <t>Eau Claire</t>
  </si>
  <si>
    <t>WI-MF-06</t>
  </si>
  <si>
    <t>South Park Apartments</t>
  </si>
  <si>
    <t>Racine</t>
  </si>
  <si>
    <t>WI-MF-07</t>
  </si>
  <si>
    <t>Fox River Flats</t>
  </si>
  <si>
    <t>Appleton</t>
  </si>
  <si>
    <t>Outagamie</t>
  </si>
  <si>
    <t>WI-MF-08</t>
  </si>
  <si>
    <t>Prairie View Residences</t>
  </si>
  <si>
    <t>La Crosse</t>
  </si>
  <si>
    <t>WI-MF-09</t>
  </si>
  <si>
    <t>Capitol Square Homes</t>
  </si>
  <si>
    <t>WI-MF-10</t>
  </si>
  <si>
    <t>Harbor Point Apartments</t>
  </si>
  <si>
    <t>Kenosha</t>
  </si>
  <si>
    <t>month</t>
  </si>
  <si>
    <t>electricity_kwh</t>
  </si>
  <si>
    <t>natural_gas_therms</t>
  </si>
  <si>
    <t>electricity_cost_usd</t>
  </si>
  <si>
    <t>natural_gas_cost_usd</t>
  </si>
  <si>
    <t>electricity_rate_usd_kwh</t>
  </si>
  <si>
    <t>gas_rate_usd_therm</t>
  </si>
  <si>
    <t>owner_or_tenant_paid</t>
  </si>
  <si>
    <t>data_quality</t>
  </si>
  <si>
    <t>source_note</t>
  </si>
  <si>
    <t>2025-01</t>
  </si>
  <si>
    <t>Mixed / simulated</t>
  </si>
  <si>
    <t>Simulated from ENERGY STAR multifamily EUI benchmark; not actual utility bills</t>
  </si>
  <si>
    <t>ENERGY STAR Portfolio Manager Data Explorer / U.S. National Median EUI table</t>
  </si>
  <si>
    <t>2025-02</t>
  </si>
  <si>
    <t>2025-03</t>
  </si>
  <si>
    <t>2025-04</t>
  </si>
  <si>
    <t>2025-05</t>
  </si>
  <si>
    <t>2025-06</t>
  </si>
  <si>
    <t>2025-07</t>
  </si>
  <si>
    <t>2025-08</t>
  </si>
  <si>
    <t>2025-09</t>
  </si>
  <si>
    <t>2025-10</t>
  </si>
  <si>
    <t>2025-11</t>
  </si>
  <si>
    <t>2025-12</t>
  </si>
  <si>
    <t>water_gallons</t>
  </si>
  <si>
    <t>water_cost_usd</t>
  </si>
  <si>
    <t>sewer_cost_usd</t>
  </si>
  <si>
    <t>irrigation_included</t>
  </si>
  <si>
    <t>notes</t>
  </si>
  <si>
    <t>No</t>
  </si>
  <si>
    <t>Owner/Paid by property</t>
  </si>
  <si>
    <t>Actual</t>
  </si>
  <si>
    <t>Simulated using EPA 82 gal/person/day reference; replace with water bills/Portfolio Manager export for real diligence.</t>
  </si>
  <si>
    <t>Yes</t>
  </si>
  <si>
    <t>Estimated</t>
  </si>
  <si>
    <t>landfill_tons</t>
  </si>
  <si>
    <t>recycling_tons</t>
  </si>
  <si>
    <t>compost_tons</t>
  </si>
  <si>
    <t>waste_cost_usd</t>
  </si>
  <si>
    <t>vendor</t>
  </si>
  <si>
    <t>Waste Management</t>
  </si>
  <si>
    <t>Simulated property-level waste stream; structure aligns with ENERGY STAR Portfolio Manager waste tracking and EPA WARM materials-management categories.</t>
  </si>
  <si>
    <t>GFL Environmental</t>
  </si>
  <si>
    <t>0.66</t>
  </si>
  <si>
    <t>0.61</t>
  </si>
  <si>
    <t>Republic Services</t>
  </si>
  <si>
    <t>Harter's Fox Valley Disposal</t>
  </si>
  <si>
    <t>Johns Disposal</t>
  </si>
  <si>
    <t>Hilltopper Refuse</t>
  </si>
  <si>
    <t>0.29</t>
  </si>
  <si>
    <t>factor_id</t>
  </si>
  <si>
    <t>source_name</t>
  </si>
  <si>
    <t>source_year</t>
  </si>
  <si>
    <t>geography</t>
  </si>
  <si>
    <t>fuel_or_energy_type</t>
  </si>
  <si>
    <t>scope</t>
  </si>
  <si>
    <t>input_unit</t>
  </si>
  <si>
    <t>co2_factor</t>
  </si>
  <si>
    <t>ch4_factor</t>
  </si>
  <si>
    <t>n2o_factor</t>
  </si>
  <si>
    <t>co2e_factor</t>
  </si>
  <si>
    <t>co2e_unit</t>
  </si>
  <si>
    <t>conversion_notes</t>
  </si>
  <si>
    <t>source_url</t>
  </si>
  <si>
    <t>use_in_project</t>
  </si>
  <si>
    <t>quality_note</t>
  </si>
  <si>
    <t>EF-ELEC-WI-STATE</t>
  </si>
  <si>
    <t>EPA eGRID Summary Tables</t>
  </si>
  <si>
    <t>2023</t>
  </si>
  <si>
    <t>Wisconsin (state output emission rate)</t>
  </si>
  <si>
    <t>Purchased electricity</t>
  </si>
  <si>
    <t>Scope 2 location-based</t>
  </si>
  <si>
    <t>kWh</t>
  </si>
  <si>
    <t>1157.0</t>
  </si>
  <si>
    <t>0.1</t>
  </si>
  <si>
    <t>0.014</t>
  </si>
  <si>
    <t>0.5278</t>
  </si>
  <si>
    <t>kg CO2e/kWh</t>
  </si>
  <si>
    <t>Converted from 1,163.6 lb CO2e/MWh using 0.45359237 kg/lb and 1,000 kWh/MWh</t>
  </si>
  <si>
    <t>https://www.epa.gov/egrid/summary-data</t>
  </si>
  <si>
    <t>Default factor for all Wisconsin properties in this simulated portfolio</t>
  </si>
  <si>
    <t>Use state factor for simplicity; for real client, confirm exact eGRID subregion/utility territory</t>
  </si>
  <si>
    <t>EF-ELEC-MROW</t>
  </si>
  <si>
    <t>MROW / MRO West eGRID subregion</t>
  </si>
  <si>
    <t>920.1</t>
  </si>
  <si>
    <t>0.097</t>
  </si>
  <si>
    <t>0.420299</t>
  </si>
  <si>
    <t>Converted from 926.6 lb CO2e/MWh</t>
  </si>
  <si>
    <t>Optional sensitivity factor for Wisconsin properties in MRO West territory</t>
  </si>
  <si>
    <t>Use only if property is in this eGRID subregion</t>
  </si>
  <si>
    <t>EF-ELEC-RFCW</t>
  </si>
  <si>
    <t>RFCW / RFC West eGRID subregion</t>
  </si>
  <si>
    <t>911.4</t>
  </si>
  <si>
    <t>0.071</t>
  </si>
  <si>
    <t>0.01</t>
  </si>
  <si>
    <t>0.415536</t>
  </si>
  <si>
    <t>Converted from 916.1 lb CO2e/MWh</t>
  </si>
  <si>
    <t>Optional sensitivity factor for Wisconsin properties in RFC West territory</t>
  </si>
  <si>
    <t>EF-ELEC-US</t>
  </si>
  <si>
    <t>United States average</t>
  </si>
  <si>
    <t>767.2</t>
  </si>
  <si>
    <t>0.057</t>
  </si>
  <si>
    <t>0.008</t>
  </si>
  <si>
    <t>0.349674</t>
  </si>
  <si>
    <t>Converted from 770.9 lb CO2e/MWh</t>
  </si>
  <si>
    <t>Benchmark/sensitivity only; do not use as default for Wisconsin</t>
  </si>
  <si>
    <t>State/subregion factor is more defensible</t>
  </si>
  <si>
    <t>EF-NG-US-THERM</t>
  </si>
  <si>
    <t>EPA GHG Emission Factors Hub</t>
  </si>
  <si>
    <t>2025</t>
  </si>
  <si>
    <t>United States</t>
  </si>
  <si>
    <t>Natural gas stationary combustion</t>
  </si>
  <si>
    <t>Scope 1</t>
  </si>
  <si>
    <t>therm</t>
  </si>
  <si>
    <t>5.306</t>
  </si>
  <si>
    <t>0.0001</t>
  </si>
  <si>
    <t>1e-05</t>
  </si>
  <si>
    <t>5.31145</t>
  </si>
  <si>
    <t>kg CO2e/therm</t>
  </si>
  <si>
    <t>1 therm = 0.1 MMBtu. EPA factors: 53.06 kg CO2/MMBtu, 1.0 g CH4/MMBtu, 0.10 g N2O/MMBtu; GWP CH4=28, N2O=265</t>
  </si>
  <si>
    <t>https://www.epa.gov/climateleadership/ghg-emission-factors-hub</t>
  </si>
  <si>
    <t>Default factor for natural gas used by multifamily buildings</t>
  </si>
  <si>
    <t>Combustion emissions only; does not include upstream gas leakage</t>
  </si>
  <si>
    <t>EF-STEAM-HEAT</t>
  </si>
  <si>
    <t>Purchased steam/heat</t>
  </si>
  <si>
    <t>Scope 2 or Scope 3 depending accounting boundary</t>
  </si>
  <si>
    <t>MMBtu</t>
  </si>
  <si>
    <t>66.33</t>
  </si>
  <si>
    <t>0.00125</t>
  </si>
  <si>
    <t>0.000125</t>
  </si>
  <si>
    <t>66.398125</t>
  </si>
  <si>
    <t>kg CO2e/MMBtu</t>
  </si>
  <si>
    <t>EPA steam/heat factor assumes natural gas fuel at 80% thermal efficiency</t>
  </si>
  <si>
    <t>Use only if a property buys district steam/heat</t>
  </si>
  <si>
    <t>Not needed for your current 10-property data unless district energy exists</t>
  </si>
  <si>
    <t>benchmark_id</t>
  </si>
  <si>
    <t>category</t>
  </si>
  <si>
    <t>benchmark_metric</t>
  </si>
  <si>
    <t>benchmark_value</t>
  </si>
  <si>
    <t>unit</t>
  </si>
  <si>
    <t>how_to_use</t>
  </si>
  <si>
    <t>BM-MF-SOURCE-EUI-ENERGYSTAR-2024</t>
  </si>
  <si>
    <t>Energy</t>
  </si>
  <si>
    <t>Multifamily Housing</t>
  </si>
  <si>
    <t>National median Source EUI</t>
  </si>
  <si>
    <t>118.1</t>
  </si>
  <si>
    <t>kBtu/sqft/year</t>
  </si>
  <si>
    <t>ENERGY STAR Portfolio Manager U.S. National Median Table</t>
  </si>
  <si>
    <t>2024</t>
  </si>
  <si>
    <t>https://portfoliomanager.energystar.gov/pdf/reference/US%20National%20Median%20Table.pdf</t>
  </si>
  <si>
    <t>Compare portfolio source EUI to national median; source EUI is recommended for equitable comparison across fuel types.</t>
  </si>
  <si>
    <t>Pulled from August 2024 U.S. Energy Use Intensity by Property Type, Multifamily Housing row.</t>
  </si>
  <si>
    <t>BM-MF-SITE-EUI-ENERGYSTAR-2024</t>
  </si>
  <si>
    <t>National median Site EUI</t>
  </si>
  <si>
    <t>59.6</t>
  </si>
  <si>
    <t>Primary benchmark for your simulated monthly energy tab and property-level EUI comparison.</t>
  </si>
  <si>
    <t>BM-MF-REFERENCE-SOURCE</t>
  </si>
  <si>
    <t>Reference</t>
  </si>
  <si>
    <t>Peer comparison reference data source</t>
  </si>
  <si>
    <t>text</t>
  </si>
  <si>
    <t>Fannie Mae Industry Survey via ENERGY STAR</t>
  </si>
  <si>
    <t>Document the peer-group basis for the multifamily benchmark.</t>
  </si>
  <si>
    <t>ENERGY STAR table lists Fannie Mae Industry Survey as the reference data source for Multifamily Housing.</t>
  </si>
  <si>
    <t>BM-MF-SITE-EUI-GOOD-TARGET</t>
  </si>
  <si>
    <t>Internal target</t>
  </si>
  <si>
    <t>Good performance target Site EUI</t>
  </si>
  <si>
    <t>50.0</t>
  </si>
  <si>
    <t>Internal target derived from ENERGY STAR median</t>
  </si>
  <si>
    <t>2026</t>
  </si>
  <si>
    <t>Flag properties below this level as strong performers for your portfolio project.</t>
  </si>
  <si>
    <t>Analyst-defined target: about 16% below national median Site EUI of 59.6.</t>
  </si>
  <si>
    <t>BM-MF-SITE-EUI-WEAK-THRESHOLD</t>
  </si>
  <si>
    <t>Internal threshold</t>
  </si>
  <si>
    <t>Weak performance threshold Site EUI</t>
  </si>
  <si>
    <t>70.0</t>
  </si>
  <si>
    <t>Internal threshold derived from ENERGY STAR median</t>
  </si>
  <si>
    <t>Flag properties above this level for energy audit or retrofit prioritization.</t>
  </si>
  <si>
    <t>Analyst-defined threshold: about 17% above national median Site EUI of 59.6.</t>
  </si>
  <si>
    <t>BM-DATA-COVERAGE-GOOD</t>
  </si>
  <si>
    <t>Data quality</t>
  </si>
  <si>
    <t>All portfolio assets</t>
  </si>
  <si>
    <t>Good annual utility data coverage</t>
  </si>
  <si>
    <t>0.95</t>
  </si>
  <si>
    <t>share of months with actual data</t>
  </si>
  <si>
    <t>GRESB-style internal readiness threshold</t>
  </si>
  <si>
    <t>https://documents.gresb.com/generated_files/real_estate/2025/real_estate/reference_guide/complete.html</t>
  </si>
  <si>
    <t>Use to score energy/water/waste data completeness in the GRESB readiness tab.</t>
  </si>
  <si>
    <t>Not official GRESB scoring; practical readiness threshold for first-year reporting.</t>
  </si>
  <si>
    <t>BM-DATA-COVERAGE-MIN</t>
  </si>
  <si>
    <t>Minimum usable annual utility data coverage</t>
  </si>
  <si>
    <t>0.75</t>
  </si>
  <si>
    <t>share of months with actual or estimated data</t>
  </si>
  <si>
    <t>Flag assets below this as high data-risk and not ready for credible reporting.</t>
  </si>
  <si>
    <t>Analyst-defined threshold. Use for a simulated readiness model, not official GRESB scoring.</t>
  </si>
  <si>
    <t>BM-WATER-INTENSITY-INTERNAL</t>
  </si>
  <si>
    <t>Water</t>
  </si>
  <si>
    <t>Internal water intensity target</t>
  </si>
  <si>
    <t>45000</t>
  </si>
  <si>
    <t>gallons/unit/year</t>
  </si>
  <si>
    <t>Internal portfolio target</t>
  </si>
  <si>
    <t>https://www.energystar.gov/buildings/benchmark</t>
  </si>
  <si>
    <t>Use as a working target until actual property/utility water benchmarks are available.</t>
  </si>
  <si>
    <t>Private property water bills are usually required for accurate benchmarking; this is a placeholder target.</t>
  </si>
  <si>
    <t>BM-WASTE-DIVERSION-INTERNAL</t>
  </si>
  <si>
    <t>Waste</t>
  </si>
  <si>
    <t>Internal waste diversion target</t>
  </si>
  <si>
    <t>0.3</t>
  </si>
  <si>
    <t>share of total waste diverted</t>
  </si>
  <si>
    <t>https://www.epa.gov/waste-reduction-model</t>
  </si>
  <si>
    <t>Use as an initial target for waste management performance and improvement planning.</t>
  </si>
  <si>
    <t>Use EPA WARM later for emissions impact of landfill/recycling/compost scenarios.</t>
  </si>
  <si>
    <t>BM-GHG-INTENSITY-INTERNAL</t>
  </si>
  <si>
    <t>GHG</t>
  </si>
  <si>
    <t>Internal GHG intensity target</t>
  </si>
  <si>
    <t>0.006</t>
  </si>
  <si>
    <t>tCO2e/sqft/year</t>
  </si>
  <si>
    <t>Internal portfolio target using EPA emissions factors</t>
  </si>
  <si>
    <t>https://www.epa.gov/egrid</t>
  </si>
  <si>
    <t>Use as a portfolio screening target after calculating Scope 1 and Scope 2 emissions.</t>
  </si>
  <si>
    <t>This target depends on actual fuel mix and EPA eGRID/natural gas factors.</t>
  </si>
  <si>
    <t>geoid_county</t>
  </si>
  <si>
    <t>geography_level</t>
  </si>
  <si>
    <t>median_household_income_usd_2020_2024</t>
  </si>
  <si>
    <t>poverty_rate</t>
  </si>
  <si>
    <t>owner_occupied_rate</t>
  </si>
  <si>
    <t>renter_occupied_rate</t>
  </si>
  <si>
    <t>population_under_5_pct</t>
  </si>
  <si>
    <t>population_over_65_pct</t>
  </si>
  <si>
    <t>language_other_than_english_pct</t>
  </si>
  <si>
    <t>median_gross_rent_usd</t>
  </si>
  <si>
    <t>rent_burden_rate</t>
  </si>
  <si>
    <t>rent_burden_note</t>
  </si>
  <si>
    <t>social_vulnerability_flag</t>
  </si>
  <si>
    <t>income_vs_wi_median_flag</t>
  </si>
  <si>
    <t>55025</t>
  </si>
  <si>
    <t>County</t>
  </si>
  <si>
    <t>89975</t>
  </si>
  <si>
    <t>0.099</t>
  </si>
  <si>
    <t>0.571</t>
  </si>
  <si>
    <t>0.429</t>
  </si>
  <si>
    <t>0.047</t>
  </si>
  <si>
    <t>0.169</t>
  </si>
  <si>
    <t>0.115</t>
  </si>
  <si>
    <t>1398</t>
  </si>
  <si>
    <t>Not available in QuickFacts. Pull from ACS B25070/B25091 by census tract or county for true cost-burden rate.</t>
  </si>
  <si>
    <t>Moderate concern</t>
  </si>
  <si>
    <t>At/above WI median</t>
  </si>
  <si>
    <t>2020-2024 ACS 5-year / QuickFacts V2025</t>
  </si>
  <si>
    <t>U.S. Census Bureau QuickFacts</t>
  </si>
  <si>
    <t>https://www.census.gov/quickfacts/fact/table/danecountywisconsin/PST045225</t>
  </si>
  <si>
    <t>55079</t>
  </si>
  <si>
    <t>64435</t>
  </si>
  <si>
    <t>0.168</t>
  </si>
  <si>
    <t>0.499</t>
  </si>
  <si>
    <t>0.501</t>
  </si>
  <si>
    <t>0.061</t>
  </si>
  <si>
    <t>0.162</t>
  </si>
  <si>
    <t>0.186</t>
  </si>
  <si>
    <t>1101</t>
  </si>
  <si>
    <t>Higher concern</t>
  </si>
  <si>
    <t>Below WI median</t>
  </si>
  <si>
    <t>https://www.census.gov/quickfacts/fact/table/milwaukeecountywisconsin/INC110224</t>
  </si>
  <si>
    <t>55009</t>
  </si>
  <si>
    <t>79649</t>
  </si>
  <si>
    <t>0.082</t>
  </si>
  <si>
    <t>0.34</t>
  </si>
  <si>
    <t>0.054</t>
  </si>
  <si>
    <t>0.184</t>
  </si>
  <si>
    <t>0.102</t>
  </si>
  <si>
    <t>1031</t>
  </si>
  <si>
    <t>https://www.census.gov/quickfacts/fact/table/browncountywisconsin/POP060210</t>
  </si>
  <si>
    <t>55073</t>
  </si>
  <si>
    <t>77884</t>
  </si>
  <si>
    <t>0.075</t>
  </si>
  <si>
    <t>0.733</t>
  </si>
  <si>
    <t>0.267</t>
  </si>
  <si>
    <t>0.052</t>
  </si>
  <si>
    <t>0.214</t>
  </si>
  <si>
    <t>0.076</t>
  </si>
  <si>
    <t>999</t>
  </si>
  <si>
    <t>Lower concern</t>
  </si>
  <si>
    <t>https://www.census.gov/quickfacts/fact/table/marathoncountywisconsin/PST040225</t>
  </si>
  <si>
    <t>55035</t>
  </si>
  <si>
    <t>74546</t>
  </si>
  <si>
    <t>0.108</t>
  </si>
  <si>
    <t>0.39</t>
  </si>
  <si>
    <t>0.046</t>
  </si>
  <si>
    <t>0.189</t>
  </si>
  <si>
    <t>0.067</t>
  </si>
  <si>
    <t>1064</t>
  </si>
  <si>
    <t>https://www.census.gov/quickfacts/fact/table/eauclairecountywisconsin/PST045225</t>
  </si>
  <si>
    <t>55101</t>
  </si>
  <si>
    <t>78096</t>
  </si>
  <si>
    <t>0.117</t>
  </si>
  <si>
    <t>0.71</t>
  </si>
  <si>
    <t>0.202</t>
  </si>
  <si>
    <t>0.091</t>
  </si>
  <si>
    <t>1080</t>
  </si>
  <si>
    <t>https://www.census.gov/quickfacts/fact/table/racinecountywisconsin/BZA010223</t>
  </si>
  <si>
    <t>55087</t>
  </si>
  <si>
    <t>85069</t>
  </si>
  <si>
    <t>0.066</t>
  </si>
  <si>
    <t>0.715</t>
  </si>
  <si>
    <t>0.285</t>
  </si>
  <si>
    <t>0.053</t>
  </si>
  <si>
    <t>1057</t>
  </si>
  <si>
    <t>https://www.census.gov/quickfacts/fact/table/outagamiecountywisconsin/LND110210</t>
  </si>
  <si>
    <t>55063</t>
  </si>
  <si>
    <t>73013</t>
  </si>
  <si>
    <t>0.113</t>
  </si>
  <si>
    <t>0.622</t>
  </si>
  <si>
    <t>0.378</t>
  </si>
  <si>
    <t>0.045</t>
  </si>
  <si>
    <t>0.203</t>
  </si>
  <si>
    <t>1059</t>
  </si>
  <si>
    <t>https://www.census.gov/quickfacts/fact/table/lacrossecountywisconsin/PST045225</t>
  </si>
  <si>
    <t>55059</t>
  </si>
  <si>
    <t>81239</t>
  </si>
  <si>
    <t>0.098</t>
  </si>
  <si>
    <t>0.667</t>
  </si>
  <si>
    <t>0.333</t>
  </si>
  <si>
    <t>0.05</t>
  </si>
  <si>
    <t>0.131</t>
  </si>
  <si>
    <t>1219</t>
  </si>
  <si>
    <t>https://www.census.gov/quickfacts/fact/table/kenoshacountywisconsin/PST045225</t>
  </si>
  <si>
    <t>overall_risk_score_0_100</t>
  </si>
  <si>
    <t>overall_risk_rating</t>
  </si>
  <si>
    <t>national_percentile</t>
  </si>
  <si>
    <t>expected_annual_loss_musd</t>
  </si>
  <si>
    <t>social_vulnerability_rating</t>
  </si>
  <si>
    <t>community_resilience_rating</t>
  </si>
  <si>
    <t>top_hazard_1</t>
  </si>
  <si>
    <t>top_hazard_1_rating</t>
  </si>
  <si>
    <t>top_hazard_2</t>
  </si>
  <si>
    <t>top_hazard_2_rating</t>
  </si>
  <si>
    <t>top_hazard_3</t>
  </si>
  <si>
    <t>top_hazard_3_rating</t>
  </si>
  <si>
    <t>data_granularity</t>
  </si>
  <si>
    <t>source_year_version</t>
  </si>
  <si>
    <t>93.9</t>
  </si>
  <si>
    <t>Medium</t>
  </si>
  <si>
    <t>94</t>
  </si>
  <si>
    <t>182</t>
  </si>
  <si>
    <t>Not pulled</t>
  </si>
  <si>
    <t>Cold Wave</t>
  </si>
  <si>
    <t>High</t>
  </si>
  <si>
    <t>Hail</t>
  </si>
  <si>
    <t>FEMA NRI v1.20 / December 2025</t>
  </si>
  <si>
    <t>DisasterRiskIndex.com using FEMA NRI / OpenFEMA</t>
  </si>
  <si>
    <t>https://disasterriskindex.com/wisconsin/dane</t>
  </si>
  <si>
    <t>County-level FEMA National Risk Index data; not address-specific. Use property coordinates/tract data for real diligence.</t>
  </si>
  <si>
    <t>98.4</t>
  </si>
  <si>
    <t>98</t>
  </si>
  <si>
    <t>342</t>
  </si>
  <si>
    <t>Very High</t>
  </si>
  <si>
    <t>Heat Wave</t>
  </si>
  <si>
    <t>Tornado</t>
  </si>
  <si>
    <t>https://disasterriskindex.com/wisconsin/milwaukee</t>
  </si>
  <si>
    <t>90.0</t>
  </si>
  <si>
    <t>90</t>
  </si>
  <si>
    <t>Lightning</t>
  </si>
  <si>
    <t>https://disasterriskindex.com/wisconsin/brown</t>
  </si>
  <si>
    <t>87.2</t>
  </si>
  <si>
    <t>87</t>
  </si>
  <si>
    <t>https://disasterriskindex.com/wisconsin/marathon</t>
  </si>
  <si>
    <t>78.3</t>
  </si>
  <si>
    <t>Low</t>
  </si>
  <si>
    <t>78</t>
  </si>
  <si>
    <t>https://disasterriskindex.com/wisconsin/eau-claire</t>
  </si>
  <si>
    <t>85.4</t>
  </si>
  <si>
    <t>85</t>
  </si>
  <si>
    <t>64</t>
  </si>
  <si>
    <t>https://disasterriskindex.com/wisconsin/racine</t>
  </si>
  <si>
    <t>79.7</t>
  </si>
  <si>
    <t>80</t>
  </si>
  <si>
    <t>https://disasterriskindex.com/wisconsin/outagamie</t>
  </si>
  <si>
    <t>80.5</t>
  </si>
  <si>
    <t>81</t>
  </si>
  <si>
    <t>54</t>
  </si>
  <si>
    <t>Very Low</t>
  </si>
  <si>
    <t>Landslide</t>
  </si>
  <si>
    <t>https://disasterriskindex.com/wisconsin/la-crosse</t>
  </si>
  <si>
    <t>85.0</t>
  </si>
  <si>
    <t>https://disasterriskindex.com/wisconsin/kenosha</t>
  </si>
  <si>
    <t>address_or_latlong_status</t>
  </si>
  <si>
    <t>census_tract_status</t>
  </si>
  <si>
    <t>cejst_disadvantaged_proxy</t>
  </si>
  <si>
    <t>energy_burden_flag_proxy</t>
  </si>
  <si>
    <t>housing_burden_flag_proxy</t>
  </si>
  <si>
    <t>legacy_pollution_flag_proxy</t>
  </si>
  <si>
    <t>transportation_barrier_flag_proxy</t>
  </si>
  <si>
    <t>water_wastewater_flag_proxy</t>
  </si>
  <si>
    <t>low_income_flag_proxy</t>
  </si>
  <si>
    <t>tribal_or_rural_context_flag</t>
  </si>
  <si>
    <t>priority_lidac_screen</t>
  </si>
  <si>
    <t>data_confidence</t>
  </si>
  <si>
    <t>recommended_next_step</t>
  </si>
  <si>
    <t>source_urls</t>
  </si>
  <si>
    <t>Address/lat-long needed</t>
  </si>
  <si>
    <t>Census tract needed</t>
  </si>
  <si>
    <t>Not indicated by proxy / needs tract confirmation</t>
  </si>
  <si>
    <t>No/Unknown</t>
  </si>
  <si>
    <t>Low - proxy only</t>
  </si>
  <si>
    <t>Geocode property address, join to CEJST Version 2.0 tract data, then replace proxy flags with official tract-level flags.</t>
  </si>
  <si>
    <t>https://public-environmental-data-partners.github.io/j40-cejst-2/en/ ; https://datacatalog.urban.org/dataset/climate-and-economic-justice-screening-tool-data ; https://arcgis.netl.doe.gov/portal/home/item.html?id=a8674b345a7245cab5787e8a0c4dee26</t>
  </si>
  <si>
    <t>For GRESB/community-benefit screening only. Do not use as final LIDAC eligibility evidence.</t>
  </si>
  <si>
    <t>Likely / needs tract confirmation</t>
  </si>
  <si>
    <t>Yes - proxy</t>
  </si>
  <si>
    <t>Review</t>
  </si>
  <si>
    <t>Possible / needs tract confirmation</t>
  </si>
  <si>
    <t>Rural market screen</t>
  </si>
  <si>
    <t>measure_id</t>
  </si>
  <si>
    <t>measure_name</t>
  </si>
  <si>
    <t>capital_cost_usd</t>
  </si>
  <si>
    <t>eligible_incentive_usd</t>
  </si>
  <si>
    <t>annual_electricity_savings_kwh</t>
  </si>
  <si>
    <t>annual_gas_savings_therms</t>
  </si>
  <si>
    <t>annual_water_savings_gal</t>
  </si>
  <si>
    <t>annual_cost_savings_usd</t>
  </si>
  <si>
    <t>useful_life_years</t>
  </si>
  <si>
    <t>tenant_benefit_score_1_5</t>
  </si>
  <si>
    <t>owner_benefit_score_1_5</t>
  </si>
  <si>
    <t>implementation_difficulty</t>
  </si>
  <si>
    <t>source_basis</t>
  </si>
  <si>
    <t>WI-MF-01-M01</t>
  </si>
  <si>
    <t>LED common-area lighting retrofit</t>
  </si>
  <si>
    <t>Energy efficiency</t>
  </si>
  <si>
    <t>73000</t>
  </si>
  <si>
    <t>8800</t>
  </si>
  <si>
    <t>43551</t>
  </si>
  <si>
    <t>0</t>
  </si>
  <si>
    <t>6315</t>
  </si>
  <si>
    <t>10</t>
  </si>
  <si>
    <t>2</t>
  </si>
  <si>
    <t>5</t>
  </si>
  <si>
    <t>Focus on Energy Multifamily; Focus on Energy Business Rebates</t>
  </si>
  <si>
    <t>Screening estimate</t>
  </si>
  <si>
    <t>Common-area lighting measure; modeled as electricity savings only.</t>
  </si>
  <si>
    <t>WI-MF-01-M02</t>
  </si>
  <si>
    <t>Boiler tune-up and heating controls</t>
  </si>
  <si>
    <t>49200</t>
  </si>
  <si>
    <t>4900</t>
  </si>
  <si>
    <t>4783</t>
  </si>
  <si>
    <t>5261</t>
  </si>
  <si>
    <t>8</t>
  </si>
  <si>
    <t>3</t>
  </si>
  <si>
    <t>Best for older gas-heated multifamily properties; gas savings adjusted by building age.</t>
  </si>
  <si>
    <t>WI-MF-01-M03</t>
  </si>
  <si>
    <t>Smart thermostats / in-unit controls</t>
  </si>
  <si>
    <t>Energy efficiency / tenant comfort</t>
  </si>
  <si>
    <t>87500</t>
  </si>
  <si>
    <t>14932</t>
  </si>
  <si>
    <t>2690</t>
  </si>
  <si>
    <t>5124</t>
  </si>
  <si>
    <t>4</t>
  </si>
  <si>
    <t>Focus on Energy Multifamily; ENERGY STAR Federal Tax Credits</t>
  </si>
  <si>
    <t>Improves comfort and energy management; higher tenant benefit.</t>
  </si>
  <si>
    <t>WI-MF-01-M04</t>
  </si>
  <si>
    <t>Low-flow fixtures and aerators</t>
  </si>
  <si>
    <t>Water efficiency</t>
  </si>
  <si>
    <t>58100</t>
  </si>
  <si>
    <t>4600</t>
  </si>
  <si>
    <t>897</t>
  </si>
  <si>
    <t>1473153</t>
  </si>
  <si>
    <t>11299</t>
  </si>
  <si>
    <t>EPA WaterSense Multifamily; Focus on Energy Multifamily</t>
  </si>
  <si>
    <t>Water savings plus small hot-water natural gas savings.</t>
  </si>
  <si>
    <t>WI-MF-01-M05</t>
  </si>
  <si>
    <t>Smart leak detection / water monitoring</t>
  </si>
  <si>
    <t>Water resilience</t>
  </si>
  <si>
    <t>47300</t>
  </si>
  <si>
    <t>2400</t>
  </si>
  <si>
    <t>947027</t>
  </si>
  <si>
    <t>6629</t>
  </si>
  <si>
    <t>EPA WaterSense Multifamily</t>
  </si>
  <si>
    <t>Reduces leak losses and supports GRESB data-quality/readiness.</t>
  </si>
  <si>
    <t>WI-MF-01-M06</t>
  </si>
  <si>
    <t>Air sealing and weatherization</t>
  </si>
  <si>
    <t>Envelope / resilience</t>
  </si>
  <si>
    <t>112300</t>
  </si>
  <si>
    <t>11200</t>
  </si>
  <si>
    <t>7466</t>
  </si>
  <si>
    <t>3886</t>
  </si>
  <si>
    <t>5357</t>
  </si>
  <si>
    <t>15</t>
  </si>
  <si>
    <t>Focus on Energy Multifamily; ENERGY STAR Multifamily Housing</t>
  </si>
  <si>
    <t>Improves comfort, winter resilience, and heating efficiency.</t>
  </si>
  <si>
    <t>WI-MF-01-M07</t>
  </si>
  <si>
    <t>Heat pump water heater feasibility / pilot</t>
  </si>
  <si>
    <t>Electrification</t>
  </si>
  <si>
    <t>205000</t>
  </si>
  <si>
    <t>24600</t>
  </si>
  <si>
    <t>-43551</t>
  </si>
  <si>
    <t>5979</t>
  </si>
  <si>
    <t>262</t>
  </si>
  <si>
    <t>12</t>
  </si>
  <si>
    <t>ENERGY STAR Federal Tax Credits; Focus on Energy Multifamily</t>
  </si>
  <si>
    <t>Modeled as gas reduction with added electricity load; requires feasibility review.</t>
  </si>
  <si>
    <t>WI-MF-01-M08</t>
  </si>
  <si>
    <t>Rooftop solar PV feasibility and partial installation</t>
  </si>
  <si>
    <t>Renewable energy</t>
  </si>
  <si>
    <t>187100</t>
  </si>
  <si>
    <t>25000</t>
  </si>
  <si>
    <t>149317</t>
  </si>
  <si>
    <t>21651</t>
  </si>
  <si>
    <t>20</t>
  </si>
  <si>
    <t>Focus on Energy Solar for Homes; ENERGY STAR Federal Tax Credits</t>
  </si>
  <si>
    <t>Screening-level PV assumption; verify roof area, ownership, tax appetite, and interconnection.</t>
  </si>
  <si>
    <t>WI-MF-01-M09</t>
  </si>
  <si>
    <t>Waste vendor reporting + recycling engagement</t>
  </si>
  <si>
    <t>Waste / tenant engagement</t>
  </si>
  <si>
    <t>12500</t>
  </si>
  <si>
    <t>3240</t>
  </si>
  <si>
    <t>EPA WARM; ENERGY STAR Multifamily Housing</t>
  </si>
  <si>
    <t>Primary benefit is GRESB readiness, diversion tracking, and tenant engagement; direct utility savings not modeled.</t>
  </si>
  <si>
    <t>WI-MF-02-M01</t>
  </si>
  <si>
    <t>102100</t>
  </si>
  <si>
    <t>12300</t>
  </si>
  <si>
    <t>62448</t>
  </si>
  <si>
    <t>9055</t>
  </si>
  <si>
    <t>WI-MF-02-M02</t>
  </si>
  <si>
    <t>66300</t>
  </si>
  <si>
    <t>6600</t>
  </si>
  <si>
    <t>8669</t>
  </si>
  <si>
    <t>9536</t>
  </si>
  <si>
    <t>WI-MF-02-M03</t>
  </si>
  <si>
    <t>123300</t>
  </si>
  <si>
    <t>21411</t>
  </si>
  <si>
    <t>4876</t>
  </si>
  <si>
    <t>8468</t>
  </si>
  <si>
    <t>WI-MF-02-M04</t>
  </si>
  <si>
    <t>81800</t>
  </si>
  <si>
    <t>6500</t>
  </si>
  <si>
    <t>1625</t>
  </si>
  <si>
    <t>2722984</t>
  </si>
  <si>
    <t>20848</t>
  </si>
  <si>
    <t>WI-MF-02-M05</t>
  </si>
  <si>
    <t>63900</t>
  </si>
  <si>
    <t>3200</t>
  </si>
  <si>
    <t>1750490</t>
  </si>
  <si>
    <t>12253</t>
  </si>
  <si>
    <t>WI-MF-02-M06</t>
  </si>
  <si>
    <t>156600</t>
  </si>
  <si>
    <t>15700</t>
  </si>
  <si>
    <t>10705</t>
  </si>
  <si>
    <t>7043</t>
  </si>
  <si>
    <t>9300</t>
  </si>
  <si>
    <t>WI-MF-02-M07</t>
  </si>
  <si>
    <t>280500</t>
  </si>
  <si>
    <t>33700</t>
  </si>
  <si>
    <t>-62448</t>
  </si>
  <si>
    <t>10836</t>
  </si>
  <si>
    <t>2865</t>
  </si>
  <si>
    <t>WI-MF-02-M08</t>
  </si>
  <si>
    <t>225600</t>
  </si>
  <si>
    <t>214106</t>
  </si>
  <si>
    <t>31045</t>
  </si>
  <si>
    <t>WI-MF-02-M09</t>
  </si>
  <si>
    <t>16100</t>
  </si>
  <si>
    <t>4320</t>
  </si>
  <si>
    <t>WI-MF-03-M01</t>
  </si>
  <si>
    <t>66200</t>
  </si>
  <si>
    <t>7900</t>
  </si>
  <si>
    <t>34325</t>
  </si>
  <si>
    <t>4977</t>
  </si>
  <si>
    <t>WI-MF-03-M02</t>
  </si>
  <si>
    <t>45300</t>
  </si>
  <si>
    <t>4500</t>
  </si>
  <si>
    <t>3803</t>
  </si>
  <si>
    <t>4183</t>
  </si>
  <si>
    <t>WI-MF-03-M03</t>
  </si>
  <si>
    <t>79900</t>
  </si>
  <si>
    <t>8000</t>
  </si>
  <si>
    <t>11769</t>
  </si>
  <si>
    <t>2139</t>
  </si>
  <si>
    <t>4059</t>
  </si>
  <si>
    <t>WI-MF-03-M04</t>
  </si>
  <si>
    <t>53100</t>
  </si>
  <si>
    <t>4200</t>
  </si>
  <si>
    <t>713</t>
  </si>
  <si>
    <t>1285695</t>
  </si>
  <si>
    <t>9784</t>
  </si>
  <si>
    <t>WI-MF-03-M05</t>
  </si>
  <si>
    <t>43900</t>
  </si>
  <si>
    <t>2200</t>
  </si>
  <si>
    <t>826518</t>
  </si>
  <si>
    <t>5786</t>
  </si>
  <si>
    <t>WI-MF-03-M06</t>
  </si>
  <si>
    <t>101900</t>
  </si>
  <si>
    <t>10200</t>
  </si>
  <si>
    <t>5884</t>
  </si>
  <si>
    <t>3090</t>
  </si>
  <si>
    <t>4252</t>
  </si>
  <si>
    <t>WI-MF-03-M07</t>
  </si>
  <si>
    <t>166300</t>
  </si>
  <si>
    <t>20000</t>
  </si>
  <si>
    <t>-34325</t>
  </si>
  <si>
    <t>4753</t>
  </si>
  <si>
    <t>251</t>
  </si>
  <si>
    <t>WI-MF-03-M08</t>
  </si>
  <si>
    <t>150200</t>
  </si>
  <si>
    <t>117687</t>
  </si>
  <si>
    <t>17065</t>
  </si>
  <si>
    <t>WI-MF-03-M09</t>
  </si>
  <si>
    <t>11800</t>
  </si>
  <si>
    <t>2880</t>
  </si>
  <si>
    <t>WI-MF-04-M01</t>
  </si>
  <si>
    <t>56400</t>
  </si>
  <si>
    <t>6800</t>
  </si>
  <si>
    <t>32248</t>
  </si>
  <si>
    <t>4676</t>
  </si>
  <si>
    <t>WI-MF-04-M02</t>
  </si>
  <si>
    <t>39700</t>
  </si>
  <si>
    <t>4000</t>
  </si>
  <si>
    <t>3819</t>
  </si>
  <si>
    <t>4201</t>
  </si>
  <si>
    <t>WI-MF-04-M03</t>
  </si>
  <si>
    <t>66500</t>
  </si>
  <si>
    <t>11057</t>
  </si>
  <si>
    <t>2148</t>
  </si>
  <si>
    <t>3966</t>
  </si>
  <si>
    <t>WI-MF-04-M04</t>
  </si>
  <si>
    <t>44200</t>
  </si>
  <si>
    <t>3500</t>
  </si>
  <si>
    <t>716</t>
  </si>
  <si>
    <t>1320555</t>
  </si>
  <si>
    <t>10031</t>
  </si>
  <si>
    <t>WI-MF-04-M05</t>
  </si>
  <si>
    <t>37800</t>
  </si>
  <si>
    <t>1900</t>
  </si>
  <si>
    <t>848928</t>
  </si>
  <si>
    <t>5942</t>
  </si>
  <si>
    <t>WI-MF-04-M06</t>
  </si>
  <si>
    <t>76400</t>
  </si>
  <si>
    <t>7600</t>
  </si>
  <si>
    <t>5528</t>
  </si>
  <si>
    <t>3103</t>
  </si>
  <si>
    <t>4215</t>
  </si>
  <si>
    <t>WI-MF-04-M07</t>
  </si>
  <si>
    <t>141900</t>
  </si>
  <si>
    <t>17000</t>
  </si>
  <si>
    <t>-32248</t>
  </si>
  <si>
    <t>4773</t>
  </si>
  <si>
    <t>574</t>
  </si>
  <si>
    <t>WI-MF-04-M08</t>
  </si>
  <si>
    <t>129800</t>
  </si>
  <si>
    <t>23400</t>
  </si>
  <si>
    <t>110565</t>
  </si>
  <si>
    <t>16032</t>
  </si>
  <si>
    <t>WI-MF-04-M09</t>
  </si>
  <si>
    <t>10500</t>
  </si>
  <si>
    <t>2340</t>
  </si>
  <si>
    <t>WI-MF-05-M01</t>
  </si>
  <si>
    <t>44500</t>
  </si>
  <si>
    <t>5300</t>
  </si>
  <si>
    <t>22483</t>
  </si>
  <si>
    <t>3260</t>
  </si>
  <si>
    <t>WI-MF-05-M02</t>
  </si>
  <si>
    <t>32800</t>
  </si>
  <si>
    <t>3300</t>
  </si>
  <si>
    <t>2228</t>
  </si>
  <si>
    <t>WI-MF-05-M03</t>
  </si>
  <si>
    <t>51600</t>
  </si>
  <si>
    <t>5200</t>
  </si>
  <si>
    <t>7708</t>
  </si>
  <si>
    <t>1139</t>
  </si>
  <si>
    <t>2371</t>
  </si>
  <si>
    <t>WI-MF-05-M04</t>
  </si>
  <si>
    <t>34300</t>
  </si>
  <si>
    <t>2700</t>
  </si>
  <si>
    <t>380</t>
  </si>
  <si>
    <t>727041</t>
  </si>
  <si>
    <t>5507</t>
  </si>
  <si>
    <t>WI-MF-05-M05</t>
  </si>
  <si>
    <t>27200</t>
  </si>
  <si>
    <t>1400</t>
  </si>
  <si>
    <t>467384</t>
  </si>
  <si>
    <t>3272</t>
  </si>
  <si>
    <t>WI-MF-05-M06</t>
  </si>
  <si>
    <t>60700</t>
  </si>
  <si>
    <t>6100</t>
  </si>
  <si>
    <t>3854</t>
  </si>
  <si>
    <t>1646</t>
  </si>
  <si>
    <t>2369</t>
  </si>
  <si>
    <t>WI-MF-05-M07</t>
  </si>
  <si>
    <t>114500</t>
  </si>
  <si>
    <t>13700</t>
  </si>
  <si>
    <t>-22483</t>
  </si>
  <si>
    <t>2532</t>
  </si>
  <si>
    <t>-475</t>
  </si>
  <si>
    <t>WI-MF-05-M08</t>
  </si>
  <si>
    <t>105100</t>
  </si>
  <si>
    <t>18900</t>
  </si>
  <si>
    <t>77084</t>
  </si>
  <si>
    <t>11177</t>
  </si>
  <si>
    <t>WI-MF-05-M09</t>
  </si>
  <si>
    <t>9000</t>
  </si>
  <si>
    <t>1890</t>
  </si>
  <si>
    <t>WI-MF-06-M01</t>
  </si>
  <si>
    <t>90300</t>
  </si>
  <si>
    <t>10800</t>
  </si>
  <si>
    <t>53703</t>
  </si>
  <si>
    <t>7787</t>
  </si>
  <si>
    <t>WI-MF-06-M02</t>
  </si>
  <si>
    <t>59600</t>
  </si>
  <si>
    <t>6000</t>
  </si>
  <si>
    <t>7455</t>
  </si>
  <si>
    <t>8200</t>
  </si>
  <si>
    <t>WI-MF-06-M03</t>
  </si>
  <si>
    <t>112800</t>
  </si>
  <si>
    <t>11300</t>
  </si>
  <si>
    <t>18412</t>
  </si>
  <si>
    <t>4193</t>
  </si>
  <si>
    <t>7282</t>
  </si>
  <si>
    <t>WI-MF-06-M04</t>
  </si>
  <si>
    <t>65700</t>
  </si>
  <si>
    <t>2353806</t>
  </si>
  <si>
    <t>18014</t>
  </si>
  <si>
    <t>WI-MF-06-M05</t>
  </si>
  <si>
    <t>52100</t>
  </si>
  <si>
    <t>2600</t>
  </si>
  <si>
    <t>1513161</t>
  </si>
  <si>
    <t>10592</t>
  </si>
  <si>
    <t>WI-MF-06-M06</t>
  </si>
  <si>
    <t>121900</t>
  </si>
  <si>
    <t>12200</t>
  </si>
  <si>
    <t>9206</t>
  </si>
  <si>
    <t>6057</t>
  </si>
  <si>
    <t>7998</t>
  </si>
  <si>
    <t>WI-MF-06-M07</t>
  </si>
  <si>
    <t>228200</t>
  </si>
  <si>
    <t>27400</t>
  </si>
  <si>
    <t>-53703</t>
  </si>
  <si>
    <t>9318</t>
  </si>
  <si>
    <t>2463</t>
  </si>
  <si>
    <t>WI-MF-06-M08</t>
  </si>
  <si>
    <t>201700</t>
  </si>
  <si>
    <t>184124</t>
  </si>
  <si>
    <t>26698</t>
  </si>
  <si>
    <t>WI-MF-06-M09</t>
  </si>
  <si>
    <t>15200</t>
  </si>
  <si>
    <t>3780</t>
  </si>
  <si>
    <t>WI-MF-07-M01</t>
  </si>
  <si>
    <t>60200</t>
  </si>
  <si>
    <t>7200</t>
  </si>
  <si>
    <t>31778</t>
  </si>
  <si>
    <t>4608</t>
  </si>
  <si>
    <t>WI-MF-07-M02</t>
  </si>
  <si>
    <t>42100</t>
  </si>
  <si>
    <t>3116</t>
  </si>
  <si>
    <t>3428</t>
  </si>
  <si>
    <t>WI-MF-07-M03</t>
  </si>
  <si>
    <t>6400</t>
  </si>
  <si>
    <t>10895</t>
  </si>
  <si>
    <t>1753</t>
  </si>
  <si>
    <t>3508</t>
  </si>
  <si>
    <t>WI-MF-07-M04</t>
  </si>
  <si>
    <t>42500</t>
  </si>
  <si>
    <t>3400</t>
  </si>
  <si>
    <t>584</t>
  </si>
  <si>
    <t>1076698</t>
  </si>
  <si>
    <t>8179</t>
  </si>
  <si>
    <t>WI-MF-07-M05</t>
  </si>
  <si>
    <t>36000</t>
  </si>
  <si>
    <t>1800</t>
  </si>
  <si>
    <t>692163</t>
  </si>
  <si>
    <t>4845</t>
  </si>
  <si>
    <t>WI-MF-07-M06</t>
  </si>
  <si>
    <t>81700</t>
  </si>
  <si>
    <t>5448</t>
  </si>
  <si>
    <t>3575</t>
  </si>
  <si>
    <t>WI-MF-07-M07</t>
  </si>
  <si>
    <t>154400</t>
  </si>
  <si>
    <t>18500</t>
  </si>
  <si>
    <t>-31778</t>
  </si>
  <si>
    <t>3895</t>
  </si>
  <si>
    <t>-323</t>
  </si>
  <si>
    <t>WI-MF-07-M08</t>
  </si>
  <si>
    <t>138400</t>
  </si>
  <si>
    <t>24900</t>
  </si>
  <si>
    <t>108953</t>
  </si>
  <si>
    <t>15798</t>
  </si>
  <si>
    <t>WI-MF-07-M09</t>
  </si>
  <si>
    <t>WI-MF-08-M01</t>
  </si>
  <si>
    <t>54200</t>
  </si>
  <si>
    <t>29262</t>
  </si>
  <si>
    <t>4243</t>
  </si>
  <si>
    <t>WI-MF-08-M02</t>
  </si>
  <si>
    <t>34000</t>
  </si>
  <si>
    <t>3135</t>
  </si>
  <si>
    <t>3449</t>
  </si>
  <si>
    <t>WI-MF-08-M03</t>
  </si>
  <si>
    <t>56500</t>
  </si>
  <si>
    <t>5600</t>
  </si>
  <si>
    <t>10033</t>
  </si>
  <si>
    <t>1763</t>
  </si>
  <si>
    <t>3394</t>
  </si>
  <si>
    <t>WI-MF-08-M04</t>
  </si>
  <si>
    <t>37600</t>
  </si>
  <si>
    <t>3000</t>
  </si>
  <si>
    <t>588</t>
  </si>
  <si>
    <t>963082</t>
  </si>
  <si>
    <t>7388</t>
  </si>
  <si>
    <t>WI-MF-08-M05</t>
  </si>
  <si>
    <t>32600</t>
  </si>
  <si>
    <t>1600</t>
  </si>
  <si>
    <t>619124</t>
  </si>
  <si>
    <t>4334</t>
  </si>
  <si>
    <t>WI-MF-08-M06</t>
  </si>
  <si>
    <t>73800</t>
  </si>
  <si>
    <t>7400</t>
  </si>
  <si>
    <t>5016</t>
  </si>
  <si>
    <t>2547</t>
  </si>
  <si>
    <t>3529</t>
  </si>
  <si>
    <t>WI-MF-08-M07</t>
  </si>
  <si>
    <t>138800</t>
  </si>
  <si>
    <t>16700</t>
  </si>
  <si>
    <t>-29262</t>
  </si>
  <si>
    <t>3918</t>
  </si>
  <si>
    <t>67</t>
  </si>
  <si>
    <t>WI-MF-08-M08</t>
  </si>
  <si>
    <t>126000</t>
  </si>
  <si>
    <t>22700</t>
  </si>
  <si>
    <t>100325</t>
  </si>
  <si>
    <t>14547</t>
  </si>
  <si>
    <t>WI-MF-08-M09</t>
  </si>
  <si>
    <t>10400</t>
  </si>
  <si>
    <t>2160</t>
  </si>
  <si>
    <t>WI-MF-09-M01</t>
  </si>
  <si>
    <t>68200</t>
  </si>
  <si>
    <t>38874</t>
  </si>
  <si>
    <t>5637</t>
  </si>
  <si>
    <t>WI-MF-09-M02</t>
  </si>
  <si>
    <t>46100</t>
  </si>
  <si>
    <t>3050</t>
  </si>
  <si>
    <t>3355</t>
  </si>
  <si>
    <t>WI-MF-09-M03</t>
  </si>
  <si>
    <t>81400</t>
  </si>
  <si>
    <t>8100</t>
  </si>
  <si>
    <t>13328</t>
  </si>
  <si>
    <t>1715</t>
  </si>
  <si>
    <t>WI-MF-09-M04</t>
  </si>
  <si>
    <t>54100</t>
  </si>
  <si>
    <t>4300</t>
  </si>
  <si>
    <t>572</t>
  </si>
  <si>
    <t>1219104</t>
  </si>
  <si>
    <t>9163</t>
  </si>
  <si>
    <t>WI-MF-09-M05</t>
  </si>
  <si>
    <t>783710</t>
  </si>
  <si>
    <t>5486</t>
  </si>
  <si>
    <t>WI-MF-09-M06</t>
  </si>
  <si>
    <t>105200</t>
  </si>
  <si>
    <t>6664</t>
  </si>
  <si>
    <t>2478</t>
  </si>
  <si>
    <t>3692</t>
  </si>
  <si>
    <t>WI-MF-09-M07</t>
  </si>
  <si>
    <t>191500</t>
  </si>
  <si>
    <t>23000</t>
  </si>
  <si>
    <t>-38874</t>
  </si>
  <si>
    <t>3812</t>
  </si>
  <si>
    <t>-977</t>
  </si>
  <si>
    <t>WI-MF-09-M08</t>
  </si>
  <si>
    <t>175500</t>
  </si>
  <si>
    <t>133283</t>
  </si>
  <si>
    <t>19326</t>
  </si>
  <si>
    <t>WI-MF-09-M09</t>
  </si>
  <si>
    <t>13300</t>
  </si>
  <si>
    <t>3420</t>
  </si>
  <si>
    <t>WI-MF-10-M01</t>
  </si>
  <si>
    <t>75200</t>
  </si>
  <si>
    <t>43152</t>
  </si>
  <si>
    <t>6257</t>
  </si>
  <si>
    <t>WI-MF-10-M02</t>
  </si>
  <si>
    <t>50500</t>
  </si>
  <si>
    <t>5000</t>
  </si>
  <si>
    <t>5990</t>
  </si>
  <si>
    <t>6589</t>
  </si>
  <si>
    <t>WI-MF-10-M03</t>
  </si>
  <si>
    <t>90400</t>
  </si>
  <si>
    <t>14795</t>
  </si>
  <si>
    <t>3370</t>
  </si>
  <si>
    <t>5852</t>
  </si>
  <si>
    <t>WI-MF-10-M04</t>
  </si>
  <si>
    <t>60000</t>
  </si>
  <si>
    <t>4800</t>
  </si>
  <si>
    <t>1123</t>
  </si>
  <si>
    <t>1906155</t>
  </si>
  <si>
    <t>14578</t>
  </si>
  <si>
    <t>WI-MF-10-M05</t>
  </si>
  <si>
    <t>48700</t>
  </si>
  <si>
    <t>1225386</t>
  </si>
  <si>
    <t>8578</t>
  </si>
  <si>
    <t>WI-MF-10-M06</t>
  </si>
  <si>
    <t>115600</t>
  </si>
  <si>
    <t>11600</t>
  </si>
  <si>
    <t>7398</t>
  </si>
  <si>
    <t>4867</t>
  </si>
  <si>
    <t>6426</t>
  </si>
  <si>
    <t>WI-MF-10-M07</t>
  </si>
  <si>
    <t>211100</t>
  </si>
  <si>
    <t>25300</t>
  </si>
  <si>
    <t>-43152</t>
  </si>
  <si>
    <t>7488</t>
  </si>
  <si>
    <t>1980</t>
  </si>
  <si>
    <t>WI-MF-10-M08</t>
  </si>
  <si>
    <t>192300</t>
  </si>
  <si>
    <t>147951</t>
  </si>
  <si>
    <t>21453</t>
  </si>
  <si>
    <t>WI-MF-10-M09</t>
  </si>
  <si>
    <t>12700</t>
  </si>
  <si>
    <t>3150</t>
  </si>
  <si>
    <t>indicator_id</t>
  </si>
  <si>
    <t>gresb_area</t>
  </si>
  <si>
    <t>indicator_name</t>
  </si>
  <si>
    <t>evidence_required</t>
  </si>
  <si>
    <t>current_status</t>
  </si>
  <si>
    <t>evidence_available_yes_no</t>
  </si>
  <si>
    <t>data_source_to_check</t>
  </si>
  <si>
    <t>responsible_team</t>
  </si>
  <si>
    <t>priority</t>
  </si>
  <si>
    <t>GOV-01</t>
  </si>
  <si>
    <t>Management</t>
  </si>
  <si>
    <t>ESG policy</t>
  </si>
  <si>
    <t>Formal ESG/sustainability policy approved by management</t>
  </si>
  <si>
    <t>Not documented</t>
  </si>
  <si>
    <t>Internal policy files</t>
  </si>
  <si>
    <t>Asset Management / Sustainability</t>
  </si>
  <si>
    <t>Needed before first-year GRESB readiness claim.</t>
  </si>
  <si>
    <t>GOV-02</t>
  </si>
  <si>
    <t>ESG roles and responsibilities</t>
  </si>
  <si>
    <t>Named ESG/data owners and reporting calendar</t>
  </si>
  <si>
    <t>Partial</t>
  </si>
  <si>
    <t>Internal org chart / reporting calendar</t>
  </si>
  <si>
    <t>Sustainability / Operations</t>
  </si>
  <si>
    <t>Assign owners for energy, water, waste, tenant engagement, and climate risk.</t>
  </si>
  <si>
    <t>TAR-01</t>
  </si>
  <si>
    <t>Targets</t>
  </si>
  <si>
    <t>Energy target</t>
  </si>
  <si>
    <t>Documented energy reduction target and baseline year</t>
  </si>
  <si>
    <t>ESG plan / asset management plan</t>
  </si>
  <si>
    <t>Sustainability</t>
  </si>
  <si>
    <t>Use after calculating baseline Site EUI and asset priorities.</t>
  </si>
  <si>
    <t>TAR-02</t>
  </si>
  <si>
    <t>GHG target</t>
  </si>
  <si>
    <t>Documented GHG reduction target and baseline year</t>
  </si>
  <si>
    <t>GHG inventory / ESG plan</t>
  </si>
  <si>
    <t>Calculate Scope 1 and Scope 2 first.</t>
  </si>
  <si>
    <t>DATA-01</t>
  </si>
  <si>
    <t>Performance</t>
  </si>
  <si>
    <t>Energy data coverage</t>
  </si>
  <si>
    <t>12 months of electricity and natural gas data by property</t>
  </si>
  <si>
    <t>Simulated only</t>
  </si>
  <si>
    <t>Utility bills / ENERGY STAR Portfolio Manager export</t>
  </si>
  <si>
    <t>Property Manager</t>
  </si>
  <si>
    <t>Replace simulated data with actual bills for real client work.</t>
  </si>
  <si>
    <t>https://portfoliomanager.energystar.gov</t>
  </si>
  <si>
    <t>DATA-02</t>
  </si>
  <si>
    <t>Water data coverage</t>
  </si>
  <si>
    <t>12 months of water/sewer data by property</t>
  </si>
  <si>
    <t>Water bills / property manager reports</t>
  </si>
  <si>
    <t>Replace with actual bills or metered data.</t>
  </si>
  <si>
    <t>DATA-03</t>
  </si>
  <si>
    <t>Waste data coverage</t>
  </si>
  <si>
    <t>Waste vendor reports by property and stream</t>
  </si>
  <si>
    <t>Waste vendor reports/invoices</t>
  </si>
  <si>
    <t>Waste is often weak in first-year GRESB readiness.</t>
  </si>
  <si>
    <t>https://www.energystar.gov/buildings/benchmark/understand-metrics/waste-tracking</t>
  </si>
  <si>
    <t>RISK-01</t>
  </si>
  <si>
    <t>Risk</t>
  </si>
  <si>
    <t>Climate-risk assessment</t>
  </si>
  <si>
    <t>Property-level hazard screen for flood/heat/storm/winter risk</t>
  </si>
  <si>
    <t>County proxy only</t>
  </si>
  <si>
    <t>FEMA NRI + flood maps + insurance data</t>
  </si>
  <si>
    <t>Sustainability / Risk</t>
  </si>
  <si>
    <t>County-level screen is not enough for investment diligence.</t>
  </si>
  <si>
    <t>https://www.fema.gov/flood-maps/products-tools/national-risk-index</t>
  </si>
  <si>
    <t>SOC-01</t>
  </si>
  <si>
    <t>Tenants &amp; Community</t>
  </si>
  <si>
    <t>Tenant engagement</t>
  </si>
  <si>
    <t>Tenant communications, surveys, programs, or grievance process</t>
  </si>
  <si>
    <t>Resident surveys / engagement log</t>
  </si>
  <si>
    <t>Important for recognition and participatory justice.</t>
  </si>
  <si>
    <t>SOC-02</t>
  </si>
  <si>
    <t>Community benefit</t>
  </si>
  <si>
    <t>Affordability / LIDAC screen</t>
  </si>
  <si>
    <t>Evidence of affordability status, energy burden, or LIDAC/CEJST status</t>
  </si>
  <si>
    <t>Proxy only</t>
  </si>
  <si>
    <t>ACS / CEJST / property affordability records</t>
  </si>
  <si>
    <t>Sustainability / Community Engagement</t>
  </si>
  <si>
    <t>Use tract-level data for serious analysis.</t>
  </si>
  <si>
    <t>https://public-environmental-data-partners.github.io/j40-cejst-2/en/</t>
  </si>
  <si>
    <t>CERT-01</t>
  </si>
  <si>
    <t>Certifications</t>
  </si>
  <si>
    <t>Green building certifications</t>
  </si>
  <si>
    <t>ENERGY STAR, LEED, NGBS, Enterprise Green Communities, etc.</t>
  </si>
  <si>
    <t>Certification documents</t>
  </si>
  <si>
    <t>Asset Management</t>
  </si>
  <si>
    <t>Optional but useful for ESG quality evidence.</t>
  </si>
  <si>
    <t>https://www.energystar.gov/buildings</t>
  </si>
  <si>
    <t>annual_electricity_kwh</t>
  </si>
  <si>
    <t>annual_natural_gas_therms</t>
  </si>
  <si>
    <t>annual_electricity_cost_usd</t>
  </si>
  <si>
    <t>annual_gas_cost_usd</t>
  </si>
  <si>
    <t>annual_total_energy_cost_usd</t>
  </si>
  <si>
    <t>electricity_kbtu</t>
  </si>
  <si>
    <t>natural_gas_kbtu</t>
  </si>
  <si>
    <t>total_energy_kbtu</t>
  </si>
  <si>
    <t>site_eui_kbtu_sqft</t>
  </si>
  <si>
    <t>electricity_intensity_kwh_sqft</t>
  </si>
  <si>
    <t>gas_intensity_therms_sqft</t>
  </si>
  <si>
    <t>energy_cost_per_unit</t>
  </si>
  <si>
    <t>energy_cost_per_sqft</t>
  </si>
  <si>
    <t>months_with_energy_data</t>
  </si>
  <si>
    <t>energy_data_coverage_pct</t>
  </si>
  <si>
    <t>benchmark_site_eui</t>
  </si>
  <si>
    <t>eui_vs_benchmark</t>
  </si>
  <si>
    <t>energy_performance_flag</t>
  </si>
  <si>
    <t>purpose</t>
  </si>
  <si>
    <t>Data coverage</t>
  </si>
  <si>
    <t>energy_data_coverage_flag</t>
  </si>
  <si>
    <t>energy_priority_rank</t>
  </si>
  <si>
    <t>recommended_energy_action</t>
  </si>
  <si>
    <t xml:space="preserve">unit </t>
  </si>
  <si>
    <t>annual_water_gallons</t>
  </si>
  <si>
    <t>annual_sewer_cost_usd</t>
  </si>
  <si>
    <t>annual_water_cost_usd</t>
  </si>
  <si>
    <t>annual_total_water_sewer_cost_usd</t>
  </si>
  <si>
    <t>water_intensity_gal_sqft</t>
  </si>
  <si>
    <t>water_per_unit_gal</t>
  </si>
  <si>
    <t>water_cost_per_unit</t>
  </si>
  <si>
    <t>water_cost_per_sqft</t>
  </si>
  <si>
    <t>months_with_water_data</t>
  </si>
  <si>
    <t>water_data_coverage_pct</t>
  </si>
  <si>
    <t>water_performance_flag</t>
  </si>
  <si>
    <t>water_cost_flag</t>
  </si>
  <si>
    <t>recommended_water_action</t>
  </si>
  <si>
    <t>water_cost_priority_rank</t>
  </si>
  <si>
    <t>water_intensity_rank</t>
  </si>
  <si>
    <t>combined_water_priority_score</t>
  </si>
  <si>
    <t>combined_water_priority_rank</t>
  </si>
  <si>
    <t>Water performance analysis shows which multifamily properties have the highest annual water use and water/sewer cost after normalizing by units and square footage. The most useful KPI is water gallons per unit because it reflects resident-level and operational water demand. Properties with high water use per unit and high water/sewer cost per unit should be prioritized for leak detection, low-flow fixtures, plumbing review, and irrigation checks.</t>
  </si>
  <si>
    <t>annual_landfill_tons</t>
  </si>
  <si>
    <t>annual_recycling_tons</t>
  </si>
  <si>
    <t>annual_compost_tons</t>
  </si>
  <si>
    <t>annual_total_waste_tons</t>
  </si>
  <si>
    <t>annual_waste_cost_usd</t>
  </si>
  <si>
    <t>diverted_waste_tons</t>
  </si>
  <si>
    <t>waste_diversion_rate</t>
  </si>
  <si>
    <t>waste_per_unit_tons</t>
  </si>
  <si>
    <t>waste_per_1000_sqft_tons</t>
  </si>
  <si>
    <t>waste_cost_per_unit</t>
  </si>
  <si>
    <t>waste_cost_per_sqft</t>
  </si>
  <si>
    <t>months_with_waste_data</t>
  </si>
  <si>
    <t>waste_data_coverage_pct</t>
  </si>
  <si>
    <t>waste_performance_flag</t>
  </si>
  <si>
    <t>diversion_performance_flag</t>
  </si>
  <si>
    <t>recommended_waste_action</t>
  </si>
  <si>
    <t>waste_priority_rank</t>
  </si>
  <si>
    <t>diversion_priority_rank</t>
  </si>
  <si>
    <t>Waste analysis shows that the portfolio has complete waste data coverage, with 12 months of data available for each property. However, most properties show high waste generation per unit and weak diversion performance. South Park Apartments, Badger Ridge Homes, Lakeview Terrace, Capitol Square Homes, and Oak Street Lofts have the highest waste per unit and should be prioritized for waste audits. Diversion performance is especially weak at Lakeview Terrace, Harbor Point Apartments, South Park Apartments, Badger Ridge Homes, and Riverbend Apartments, suggesting a need for improved recycling access, tenant education, contamination review, and vendor coordination.</t>
  </si>
  <si>
    <t>electricity_emission_factor_kgco2e_kwh</t>
  </si>
  <si>
    <t>natural_gas_emission_factor_kgco2e_therm</t>
  </si>
  <si>
    <t>scope2_electricity_emissions_tco2e</t>
  </si>
  <si>
    <t>scope1_natural_gas_emissions_tco2e</t>
  </si>
  <si>
    <t>total_scope1_scope2_emissions_tco2e</t>
  </si>
  <si>
    <t>emissions_intensity_kgco2e_sqft</t>
  </si>
  <si>
    <t>emissions_per_unit_tco2e</t>
  </si>
  <si>
    <t>scope2_share_pct</t>
  </si>
  <si>
    <t>scope1_share_pct</t>
  </si>
  <si>
    <t>carbon_performance_flag</t>
  </si>
  <si>
    <t>carbon_priority_rank</t>
  </si>
  <si>
    <t>recommended_carbon_action</t>
  </si>
  <si>
    <t>integrated_priority_score</t>
  </si>
  <si>
    <t>integrated_priority_rank</t>
  </si>
  <si>
    <t>overall_priority_flag</t>
  </si>
  <si>
    <t>recommended_integrated_action</t>
  </si>
  <si>
    <t>number_of_major_issues</t>
  </si>
  <si>
    <t>primary_issue</t>
  </si>
  <si>
    <t>metric</t>
  </si>
  <si>
    <t>portfolio_result</t>
  </si>
  <si>
    <t>management_interpretation</t>
  </si>
  <si>
    <t>Highest energy priority</t>
  </si>
  <si>
    <t>Highest carbon priority</t>
  </si>
  <si>
    <t>Highest integrated priority</t>
  </si>
  <si>
    <t>The integrated performance summary identifies Lakeview Terrace and South Park Apartments as the highest-priority assets in the portfolio. Both properties combine above-benchmark energy use, high carbon intensity, high waste generation, and weak diversion performance. Harbor Point Apartments and Badger Ridge Homes form the second-priority group because they also show above-benchmark energy use and weak waste diversion, though their carbon intensity is moderate rather than high. Across the full portfolio, water performance appears efficient, while waste diversion is the most consistent weakness, with most properties below 30% diversion. This suggests the portfolio should prioritize comprehensive energy/carbon/waste reviews for the top two assets and a broader waste-diversion improvement program across the portfolio.</t>
  </si>
  <si>
    <t>Lakeview Terrace; South Park Apartments</t>
  </si>
  <si>
    <t>First assets for comprehensive audit</t>
  </si>
  <si>
    <t>Main portfolio-wide weakness</t>
  </si>
  <si>
    <t>Waste diversion</t>
  </si>
  <si>
    <t>Most properties show weak diversion below 30%</t>
  </si>
  <si>
    <t>Highest Site EUI at 67.70 kBtu/sqft</t>
  </si>
  <si>
    <t>Highest carbon intensity at 6.21 kg CO₂e/sqft</t>
  </si>
  <si>
    <t>Second carbon priority</t>
  </si>
  <si>
    <t>High carbon intensity at 6.07 kg CO₂e/sqft</t>
  </si>
  <si>
    <t>Highest waste per unit</t>
  </si>
  <si>
    <t>Highest waste generation at 0.853 tons/unit</t>
  </si>
  <si>
    <t>Water performance</t>
  </si>
  <si>
    <t>Efficient/Low across all properties</t>
  </si>
  <si>
    <t>Water is not the main intervention area in this screening</t>
  </si>
  <si>
    <t>100% for energy, water, and waste</t>
  </si>
  <si>
    <t>Data is complete enough for screening-level decision-making</t>
  </si>
  <si>
    <t>First recommended action</t>
  </si>
  <si>
    <t>Comprehensive audit for WI-MF-02 and WI-MF-06</t>
  </si>
  <si>
    <t>Combine energy, carbon, and waste/diversion review</t>
  </si>
  <si>
    <t>Portfolio program recommendation</t>
  </si>
  <si>
    <t>Waste-diversion improvement program</t>
  </si>
  <si>
    <t>Recycling access, tenant education, contamination review, and vendor coordination</t>
  </si>
  <si>
    <t>This screening analysis shows that the portfolio does not have a major data-coverage problem; it has an implementation-priority problem. Energy and carbon concerns are concentrated in a few assets, especially Lakeview Terrace and South Park Apartments. Waste diversion, however, is a portfolio-wide weakness. The recommended strategy is to start with comprehensive audits for the top two properties while also launching a portfolio-wide waste-diversion program.</t>
  </si>
  <si>
    <t>retrofit_measure</t>
  </si>
  <si>
    <t>issue_addressed</t>
  </si>
  <si>
    <t>incentive_usd</t>
  </si>
  <si>
    <t>net_cost_usd</t>
  </si>
  <si>
    <t>annual_water_savings_gallons</t>
  </si>
  <si>
    <t>annual_waste_savings_usd</t>
  </si>
  <si>
    <t>annual_energy_cost_savings_usd</t>
  </si>
  <si>
    <t>annual_water_cost_savings_usd</t>
  </si>
  <si>
    <t>annual_total_savings_usd</t>
  </si>
  <si>
    <t>annual_emissions_reduction_tco2e</t>
  </si>
  <si>
    <t>simple_payback_years</t>
  </si>
  <si>
    <t>cost_per_tco2e_reduced</t>
  </si>
  <si>
    <t>noi_impact_usd</t>
  </si>
  <si>
    <t>estimated_value_impact_usd</t>
  </si>
  <si>
    <t>investment_priority</t>
  </si>
  <si>
    <t>Energy audit</t>
  </si>
  <si>
    <t>Energy + carbon</t>
  </si>
  <si>
    <t>Boiler/heating review</t>
  </si>
  <si>
    <t>Gas use + carbon</t>
  </si>
  <si>
    <t>Electricity efficiency</t>
  </si>
  <si>
    <t>Electricity use + Scope 2</t>
  </si>
  <si>
    <t>Waste diversion program</t>
  </si>
  <si>
    <t>Waste + diversion</t>
  </si>
  <si>
    <t>Domestic hot water efficiency</t>
  </si>
  <si>
    <t>Gas + water</t>
  </si>
  <si>
    <t>Envelope air sealing</t>
  </si>
  <si>
    <t>Heating load</t>
  </si>
  <si>
    <t>Electricity efficiency has the strongest financial and carbon case because it produces high annual savings, short payback, and the largest Scope 2 emissions reduction. Boiler/heating review is also attractive because it reduces natural gas use and Scope 1 emissions with a payback under four years. Waste diversion has modest financial value but is still operationally important because weak diversion is a portfolio-wide ESG issue.</t>
  </si>
  <si>
    <t>investment_decision</t>
  </si>
  <si>
    <t>finance_note</t>
  </si>
  <si>
    <t>Retrofit financial screening shows that electricity-efficiency upgrades and boiler/heating reviews are the strongest near-term investment candidates for the highest-priority properties. Electricity efficiency at Lakeview Terrace and South Park Apartments shows an estimated payback of approximately 2.1 years, annual savings of $26,100, and emissions reduction of about 95 tCO₂e per property. Boiler/heating review shows an estimated payback of approximately 3.7 years and reduces Scope 1 emissions by about 47.8 tCO₂e per property. Waste-diversion programs have weaker direct carbon benefits but remain important because weak diversion is the most consistent portfolio-wide ESG issue.</t>
  </si>
  <si>
    <t>investment_rank</t>
  </si>
  <si>
    <t>The investment priority summary shows that electricity-efficiency upgrades at Lakeview Terrace and South Park Apartments are the strongest near-term investments, with estimated paybacks of 2.1 years, annual savings of $26,100 per property, and emissions reductions of about 95 tCO₂e per property. Boiler/heating review at the same two properties also performs well, with paybacks under four years and Scope 1 emissions reductions of about 47.8 tCO₂e per property. Domestic hot water efficiency at Harbor Point Apartments is also attractive because it combines gas, water, cost, and carbon benefits. Waste-diversion programs have weaker direct carbon benefits, but they should be included in operating plans because weak diversion is the most consistent portfolio-wide ESG issue.</t>
  </si>
  <si>
    <t>dashboard_page</t>
  </si>
  <si>
    <t>key_visuals</t>
  </si>
  <si>
    <t>filters</t>
  </si>
  <si>
    <t>main_decision_question</t>
  </si>
  <si>
    <t>Portfolio Overview</t>
  </si>
  <si>
    <t>Show overall ESG performance and priorities</t>
  </si>
  <si>
    <t>KPI cards, integrated priority ranking, top assets table</t>
  </si>
  <si>
    <t>property, city, priority flag</t>
  </si>
  <si>
    <t>Which assets need attention first?</t>
  </si>
  <si>
    <t>Energy &amp; Carbon</t>
  </si>
  <si>
    <t>Identify energy and emissions drivers</t>
  </si>
  <si>
    <t>Site EUI bar chart, carbon intensity chart, Scope 1/2 split</t>
  </si>
  <si>
    <t>property, energy flag, carbon flag</t>
  </si>
  <si>
    <t>Which assets drive energy and carbon risk?</t>
  </si>
  <si>
    <t>Review water use and cost</t>
  </si>
  <si>
    <t>water per unit, water cost per unit, water coverage</t>
  </si>
  <si>
    <t>property, water flag</t>
  </si>
  <si>
    <t>Are any assets high water users?</t>
  </si>
  <si>
    <t>Review waste generation and diversion</t>
  </si>
  <si>
    <t>waste per unit, diversion rate, waste cost per unit</t>
  </si>
  <si>
    <t>property, diversion flag</t>
  </si>
  <si>
    <t>Where is diversion weakest?</t>
  </si>
  <si>
    <t>Investment Priorities</t>
  </si>
  <si>
    <t>Connect ESG actions to finance</t>
  </si>
  <si>
    <t>payback, annual savings, emissions reduction, value impact</t>
  </si>
  <si>
    <t>measure, priority, difficulty</t>
  </si>
  <si>
    <t>Which investments should advance first?</t>
  </si>
  <si>
    <t>GRESB Readiness</t>
  </si>
  <si>
    <t>Track evidence and reporting gaps</t>
  </si>
  <si>
    <t>evidence checklist, data coverage, missing evidence table</t>
  </si>
  <si>
    <t>GRESB area, responsible team</t>
  </si>
  <si>
    <t>What evidence is missing for reporting?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</si>
</sst>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2">
    <font>
      <sz val="11"/>
      <name val="Carlito"/>
    </font>
    <font>
      <b/>
      <sz val="11"/>
      <color rgb="FFFFFFFF"/>
      <name val="Carlito"/>
    </font>
    <font>
      <sz val="11"/>
      <name val="Carlito"/>
    </font>
    <font>
      <sz val="11"/>
      <color rgb="FF006100"/>
      <name val="Calibri"/>
      <family val="2"/>
      <scheme val="minor"/>
    </font>
    <font>
      <sz val="11"/>
      <color theme="1"/>
      <name val="Carlito"/>
    </font>
    <font>
      <sz val="10"/>
      <name val="Arial Unicode MS"/>
      <family val="2"/>
    </font>
    <font>
      <b/>
      <sz val="10"/>
      <color rgb="FF006100"/>
      <name val="Calibri"/>
      <family val="2"/>
      <scheme val="minor"/>
    </font>
    <font>
      <b/>
      <sz val="11"/>
      <name val="Carlito"/>
    </font>
    <font>
      <b/>
      <sz val="11"/>
      <color rgb="FF006100"/>
      <name val="Calibri"/>
      <family val="2"/>
      <scheme val="minor"/>
    </font>
    <font>
      <b/>
      <sz val="10"/>
      <name val="Arial Unicode MS"/>
      <family val="2"/>
    </font>
    <font>
      <sz val="10"/>
      <name val="Carlito"/>
    </font>
    <font>
      <b/>
      <sz val="14"/>
      <color rgb="FF006100"/>
      <name val="Calibri"/>
      <family val="2"/>
      <scheme val="minor"/>
    </font>
  </fonts>
  <fills count="5">
    <fill>
      <patternFill patternType="none"/>
    </fill>
    <fill>
      <patternFill patternType="gray125"/>
    </fill>
    <fill>
      <patternFill patternType="solid">
        <fgColor rgb="FF0F766E"/>
      </patternFill>
    </fill>
    <fill>
      <patternFill patternType="solid">
        <fgColor rgb="FFC6EFCE"/>
      </patternFill>
    </fill>
    <fill>
      <patternFill patternType="solid">
        <fgColor theme="4" tint="0.79998168889431442"/>
        <bgColor theme="4" tint="0.79998168889431442"/>
      </patternFill>
    </fill>
  </fills>
  <borders count="6">
    <border>
      <left/>
      <right/>
      <top/>
      <bottom/>
      <diagonal/>
    </border>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9" fontId="2" fillId="0" borderId="0" applyFont="0" applyFill="0" applyBorder="0" applyAlignment="0" applyProtection="0"/>
    <xf numFmtId="0" fontId="3" fillId="3" borderId="0" applyNumberFormat="0" applyBorder="0" applyAlignment="0" applyProtection="0"/>
    <xf numFmtId="0" fontId="2" fillId="0" borderId="1"/>
  </cellStyleXfs>
  <cellXfs count="54">
    <xf numFmtId="0" fontId="0" fillId="0" borderId="0" xfId="0"/>
    <xf numFmtId="0" fontId="1"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0" fillId="0" borderId="0" xfId="0" applyAlignment="1">
      <alignment wrapText="1"/>
    </xf>
    <xf numFmtId="2" fontId="1" fillId="2" borderId="0" xfId="0" applyNumberFormat="1" applyFont="1" applyFill="1" applyAlignment="1">
      <alignment horizontal="center" vertical="center" wrapText="1"/>
    </xf>
    <xf numFmtId="4" fontId="1" fillId="2" borderId="0" xfId="0" applyNumberFormat="1" applyFont="1" applyFill="1" applyAlignment="1">
      <alignment horizontal="center" vertical="center" wrapText="1"/>
    </xf>
    <xf numFmtId="3" fontId="1" fillId="2" borderId="0" xfId="0" applyNumberFormat="1" applyFont="1" applyFill="1" applyAlignment="1">
      <alignment horizontal="center" vertical="center" wrapText="1"/>
    </xf>
    <xf numFmtId="9" fontId="0" fillId="0" borderId="0" xfId="1" applyFont="1" applyAlignment="1">
      <alignment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4" fillId="4" borderId="2" xfId="0" applyFont="1" applyFill="1" applyBorder="1" applyAlignment="1">
      <alignment wrapText="1"/>
    </xf>
    <xf numFmtId="0" fontId="4" fillId="0" borderId="2" xfId="0" applyFont="1" applyBorder="1" applyAlignment="1">
      <alignment wrapText="1"/>
    </xf>
    <xf numFmtId="14" fontId="0" fillId="0" borderId="0" xfId="0" applyNumberFormat="1" applyAlignment="1">
      <alignment wrapText="1"/>
    </xf>
    <xf numFmtId="1" fontId="1" fillId="2" borderId="3" xfId="0" applyNumberFormat="1" applyFont="1" applyFill="1" applyBorder="1" applyAlignment="1">
      <alignment horizontal="center" vertical="center" wrapText="1"/>
    </xf>
    <xf numFmtId="1" fontId="0" fillId="0" borderId="0" xfId="0" applyNumberFormat="1"/>
    <xf numFmtId="0" fontId="0" fillId="0" borderId="0" xfId="0" applyAlignment="1">
      <alignment vertical="center" wrapText="1"/>
    </xf>
    <xf numFmtId="0" fontId="5" fillId="0" borderId="0" xfId="0" applyFont="1" applyAlignment="1">
      <alignment vertical="center" wrapText="1"/>
    </xf>
    <xf numFmtId="9" fontId="0" fillId="0" borderId="0" xfId="1" applyFont="1"/>
    <xf numFmtId="0" fontId="0" fillId="0" borderId="0" xfId="0" applyAlignment="1">
      <alignment horizontal="center"/>
    </xf>
    <xf numFmtId="0" fontId="0" fillId="0" borderId="0" xfId="0" applyAlignment="1">
      <alignment horizontal="left" vertical="center" wrapText="1"/>
    </xf>
    <xf numFmtId="0" fontId="0" fillId="0" borderId="0" xfId="0" applyAlignment="1">
      <alignment vertical="top" wrapText="1"/>
    </xf>
    <xf numFmtId="0" fontId="3" fillId="3" borderId="4" xfId="2" applyBorder="1" applyAlignment="1">
      <alignment vertical="top" wrapText="1"/>
    </xf>
    <xf numFmtId="0" fontId="0" fillId="0" borderId="0" xfId="0" applyAlignment="1">
      <alignment vertical="center"/>
    </xf>
    <xf numFmtId="0" fontId="3" fillId="3" borderId="4" xfId="2" applyBorder="1" applyAlignment="1">
      <alignment horizontal="center" vertical="center" wrapText="1"/>
    </xf>
    <xf numFmtId="0" fontId="0" fillId="0" borderId="0" xfId="0" applyAlignment="1">
      <alignment horizontal="center" vertical="center"/>
    </xf>
    <xf numFmtId="0" fontId="1" fillId="2" borderId="0" xfId="0" applyFont="1" applyFill="1" applyAlignment="1">
      <alignment horizontal="center" vertical="top" wrapText="1"/>
    </xf>
    <xf numFmtId="0" fontId="0" fillId="0" borderId="0" xfId="0" applyAlignment="1">
      <alignment vertical="top"/>
    </xf>
    <xf numFmtId="9" fontId="0" fillId="0" borderId="0" xfId="1" applyFont="1" applyAlignment="1">
      <alignment horizontal="center" vertical="center"/>
    </xf>
    <xf numFmtId="10" fontId="0" fillId="0" borderId="0" xfId="1" applyNumberFormat="1" applyFont="1" applyAlignment="1">
      <alignment horizontal="center" vertical="center"/>
    </xf>
    <xf numFmtId="164" fontId="0" fillId="0" borderId="0" xfId="0" applyNumberFormat="1" applyAlignment="1">
      <alignment horizontal="center" vertical="center"/>
    </xf>
    <xf numFmtId="2" fontId="0" fillId="0" borderId="0" xfId="0" applyNumberFormat="1" applyAlignment="1">
      <alignment horizontal="center" vertical="center"/>
    </xf>
    <xf numFmtId="0" fontId="0" fillId="0" borderId="0" xfId="0" applyAlignment="1">
      <alignment horizontal="left" vertical="center"/>
    </xf>
    <xf numFmtId="0" fontId="6" fillId="3" borderId="4" xfId="2" applyFont="1" applyBorder="1" applyAlignment="1">
      <alignment vertical="center" wrapText="1"/>
    </xf>
    <xf numFmtId="0" fontId="0" fillId="0" borderId="0" xfId="0"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vertical="center" wrapText="1"/>
    </xf>
    <xf numFmtId="0" fontId="9" fillId="0" borderId="0" xfId="0" applyFont="1" applyAlignment="1">
      <alignment vertical="center" wrapText="1"/>
    </xf>
    <xf numFmtId="0" fontId="8" fillId="3" borderId="0" xfId="2" applyFont="1" applyAlignment="1">
      <alignment vertical="center" wrapText="1"/>
    </xf>
    <xf numFmtId="0" fontId="7" fillId="0" borderId="0" xfId="0" applyFont="1" applyAlignment="1">
      <alignment vertical="center"/>
    </xf>
    <xf numFmtId="9" fontId="0" fillId="0" borderId="0" xfId="1" applyFont="1" applyAlignment="1">
      <alignment vertical="center"/>
    </xf>
    <xf numFmtId="0" fontId="0" fillId="0" borderId="0" xfId="0" applyAlignment="1">
      <alignment horizontal="left" vertical="top"/>
    </xf>
    <xf numFmtId="2" fontId="0" fillId="0" borderId="0" xfId="0" applyNumberFormat="1" applyAlignment="1">
      <alignment vertical="center"/>
    </xf>
    <xf numFmtId="0" fontId="8" fillId="3" borderId="5" xfId="2" applyFont="1" applyBorder="1" applyAlignment="1">
      <alignment vertical="center" wrapText="1"/>
    </xf>
    <xf numFmtId="0" fontId="3" fillId="3" borderId="0" xfId="2" applyAlignment="1">
      <alignment horizontal="center" vertical="center"/>
    </xf>
    <xf numFmtId="0" fontId="3" fillId="3" borderId="0" xfId="2" applyAlignment="1">
      <alignment horizontal="center" vertical="center" wrapText="1"/>
    </xf>
    <xf numFmtId="0" fontId="0" fillId="0" borderId="0" xfId="0" applyAlignment="1">
      <alignment horizontal="right" vertical="center" wrapText="1"/>
    </xf>
    <xf numFmtId="0" fontId="7" fillId="0" borderId="0" xfId="0" applyFont="1" applyAlignment="1">
      <alignment horizontal="right" vertical="center" wrapText="1"/>
    </xf>
    <xf numFmtId="0" fontId="8" fillId="3" borderId="4" xfId="2" applyFont="1" applyBorder="1" applyAlignment="1">
      <alignment vertical="top" wrapText="1"/>
    </xf>
    <xf numFmtId="0" fontId="8" fillId="3" borderId="4" xfId="2" applyFont="1" applyBorder="1" applyAlignment="1">
      <alignment horizontal="center" vertical="top" wrapText="1"/>
    </xf>
    <xf numFmtId="0" fontId="11" fillId="3" borderId="0" xfId="2" applyFont="1" applyAlignment="1">
      <alignment horizontal="center" vertical="center" wrapText="1"/>
    </xf>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horizontal="center" vertical="top" wrapText="1"/>
    </xf>
    <xf numFmtId="0" fontId="10" fillId="0" borderId="0" xfId="0" applyFont="1" applyAlignment="1">
      <alignment horizontal="left" vertical="top" wrapText="1"/>
    </xf>
  </cellXfs>
  <cellStyles count="4">
    <cellStyle name="Good" xfId="2" builtinId="26"/>
    <cellStyle name="Normal" xfId="0" builtinId="0"/>
    <cellStyle name="Normal 2" xfId="3" xr:uid="{7C0FD86A-FEA9-4C19-AC13-84378DBEB00B}"/>
    <cellStyle name="Percent" xfId="1" builtinId="5"/>
  </cellStyles>
  <dxfs count="59">
    <dxf>
      <font>
        <b val="0"/>
        <i val="0"/>
        <strike val="0"/>
        <condense val="0"/>
        <extend val="0"/>
        <outline val="0"/>
        <shadow val="0"/>
        <u val="none"/>
        <vertAlign val="baseline"/>
        <sz val="11"/>
        <color auto="1"/>
        <name val="Carlito"/>
        <scheme val="none"/>
      </font>
    </dxf>
    <dxf>
      <font>
        <b val="0"/>
        <i val="0"/>
        <strike val="0"/>
        <condense val="0"/>
        <extend val="0"/>
        <outline val="0"/>
        <shadow val="0"/>
        <u val="none"/>
        <vertAlign val="baseline"/>
        <sz val="11"/>
        <color auto="1"/>
        <name val="Carlito"/>
        <scheme val="none"/>
      </font>
      <numFmt numFmtId="0" formatCode="General"/>
    </dxf>
    <dxf>
      <font>
        <b val="0"/>
        <i val="0"/>
        <strike val="0"/>
        <condense val="0"/>
        <extend val="0"/>
        <outline val="0"/>
        <shadow val="0"/>
        <u val="none"/>
        <vertAlign val="baseline"/>
        <sz val="11"/>
        <color auto="1"/>
        <name val="Carlito"/>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1"/>
        <color auto="1"/>
        <name val="Carlito"/>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1"/>
        <color auto="1"/>
        <name val="Carlito"/>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auto="1"/>
        <name val="Carlito"/>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auto="1"/>
        <name val="Carlito"/>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Carlito"/>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Carlito"/>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1"/>
        <color auto="1"/>
        <name val="Carlito"/>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Carlito"/>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1"/>
        <color auto="1"/>
        <name val="Carlito"/>
        <scheme val="none"/>
      </font>
      <numFmt numFmtId="2" formatCode="0.00"/>
      <alignment horizontal="general" vertical="center" textRotation="0" wrapText="0" indent="0" justifyLastLine="0" shrinkToFit="0" readingOrder="0"/>
    </dxf>
    <dxf>
      <font>
        <b val="0"/>
        <i val="0"/>
        <strike val="0"/>
        <condense val="0"/>
        <extend val="0"/>
        <outline val="0"/>
        <shadow val="0"/>
        <u val="none"/>
        <vertAlign val="baseline"/>
        <sz val="11"/>
        <color auto="1"/>
        <name val="Carlito"/>
        <scheme val="none"/>
      </font>
      <numFmt numFmtId="2" formatCode="0.00"/>
      <alignment horizontal="general" vertical="center" textRotation="0" wrapText="0" indent="0" justifyLastLine="0" shrinkToFit="0" readingOrder="0"/>
    </dxf>
    <dxf>
      <font>
        <b val="0"/>
        <i val="0"/>
        <strike val="0"/>
        <condense val="0"/>
        <extend val="0"/>
        <outline val="0"/>
        <shadow val="0"/>
        <u val="none"/>
        <vertAlign val="baseline"/>
        <sz val="11"/>
        <color auto="1"/>
        <name val="Carlito"/>
        <scheme val="none"/>
      </font>
      <numFmt numFmtId="2" formatCode="0.00"/>
      <alignment horizontal="general" vertical="center" textRotation="0" wrapText="0" indent="0" justifyLastLine="0" shrinkToFit="0" readingOrder="0"/>
    </dxf>
    <dxf>
      <font>
        <b val="0"/>
        <i val="0"/>
        <strike val="0"/>
        <condense val="0"/>
        <extend val="0"/>
        <outline val="0"/>
        <shadow val="0"/>
        <u val="none"/>
        <vertAlign val="baseline"/>
        <sz val="11"/>
        <color auto="1"/>
        <name val="Carlito"/>
        <scheme val="none"/>
      </font>
      <alignment horizontal="general" vertical="center" textRotation="0" wrapText="0" indent="0" justifyLastLine="0" shrinkToFit="0" readingOrder="0"/>
    </dxf>
    <dxf>
      <font>
        <b val="0"/>
        <i val="0"/>
        <strike val="0"/>
        <condense val="0"/>
        <extend val="0"/>
        <outline val="0"/>
        <shadow val="0"/>
        <u val="none"/>
        <vertAlign val="baseline"/>
        <sz val="11"/>
        <color auto="1"/>
        <name val="Carlito"/>
        <scheme val="none"/>
      </font>
      <alignment horizontal="general" vertical="center" textRotation="0" wrapText="0" indent="0" justifyLastLine="0" shrinkToFit="0" readingOrder="0"/>
    </dxf>
    <dxf>
      <font>
        <b val="0"/>
        <i val="0"/>
        <strike val="0"/>
        <condense val="0"/>
        <extend val="0"/>
        <outline val="0"/>
        <shadow val="0"/>
        <u val="none"/>
        <vertAlign val="baseline"/>
        <sz val="11"/>
        <color auto="1"/>
        <name val="Carlito"/>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Carlito"/>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auto="1"/>
        <name val="Carlito"/>
        <scheme val="none"/>
      </font>
      <alignment horizontal="general" vertical="center" textRotation="0" wrapText="0" indent="0" justifyLastLine="0" shrinkToFit="0" readingOrder="0"/>
    </dxf>
    <dxf>
      <font>
        <b val="0"/>
        <i val="0"/>
        <strike val="0"/>
        <condense val="0"/>
        <extend val="0"/>
        <outline val="0"/>
        <shadow val="0"/>
        <u val="none"/>
        <vertAlign val="baseline"/>
        <sz val="11"/>
        <color auto="1"/>
        <name val="Carlito"/>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auto="1"/>
        <name val="Carlito"/>
        <scheme val="none"/>
      </font>
      <numFmt numFmtId="2" formatCode="0.00"/>
      <alignment horizontal="general" vertical="center" textRotation="0" wrapText="0" indent="0" justifyLastLine="0" shrinkToFit="0" readingOrder="0"/>
    </dxf>
    <dxf>
      <font>
        <b val="0"/>
        <i val="0"/>
        <strike val="0"/>
        <condense val="0"/>
        <extend val="0"/>
        <outline val="0"/>
        <shadow val="0"/>
        <u val="none"/>
        <vertAlign val="baseline"/>
        <sz val="11"/>
        <color auto="1"/>
        <name val="Carlito"/>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auto="1"/>
        <name val="Carlito"/>
        <scheme val="none"/>
      </font>
      <alignment horizontal="general" vertical="center" textRotation="0" wrapText="0" indent="0" justifyLastLine="0" shrinkToFit="0" readingOrder="0"/>
    </dxf>
    <dxf>
      <font>
        <b val="0"/>
        <i val="0"/>
        <strike val="0"/>
        <condense val="0"/>
        <extend val="0"/>
        <outline val="0"/>
        <shadow val="0"/>
        <u val="none"/>
        <vertAlign val="baseline"/>
        <sz val="11"/>
        <color auto="1"/>
        <name val="Carlito"/>
        <scheme val="none"/>
      </font>
      <alignment horizontal="general" vertical="center" textRotation="0" wrapText="0" indent="0" justifyLastLine="0" shrinkToFit="0" readingOrder="0"/>
    </dxf>
    <dxf>
      <font>
        <b val="0"/>
        <i val="0"/>
        <strike val="0"/>
        <condense val="0"/>
        <extend val="0"/>
        <outline val="0"/>
        <shadow val="0"/>
        <u val="none"/>
        <vertAlign val="baseline"/>
        <sz val="11"/>
        <color auto="1"/>
        <name val="Carlito"/>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rlito"/>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auto="1"/>
        <name val="Carlito"/>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auto="1"/>
        <name val="Carlito"/>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Carlito"/>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rlito"/>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Carlito"/>
        <scheme val="none"/>
      </font>
      <alignment horizontal="general" vertical="center" textRotation="0" wrapText="0" indent="0" justifyLastLine="0" shrinkToFit="0" readingOrder="0"/>
    </dxf>
    <dxf>
      <border outline="0">
        <top style="thin">
          <color indexed="64"/>
        </top>
      </border>
    </dxf>
    <dxf>
      <border outline="0">
        <bottom style="thin">
          <color indexed="64"/>
        </bottom>
      </border>
    </dxf>
    <dxf>
      <font>
        <b/>
        <i val="0"/>
        <strike val="0"/>
        <condense val="0"/>
        <extend val="0"/>
        <outline val="0"/>
        <shadow val="0"/>
        <u val="none"/>
        <vertAlign val="baseline"/>
        <sz val="11"/>
        <color rgb="FF006100"/>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bottom/>
      </border>
    </dxf>
    <dxf>
      <alignment vertical="top" textRotation="0" indent="0" justifyLastLine="0" shrinkToFit="0" readingOrder="0"/>
    </dxf>
    <dxf>
      <numFmt numFmtId="0" formatCode="General"/>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sset_Master" displayName="Asset_Master" ref="A1:K11">
  <tableColumns count="11">
    <tableColumn id="1" xr3:uid="{00000000-0010-0000-0000-000001000000}" name="property_id"/>
    <tableColumn id="2" xr3:uid="{00000000-0010-0000-0000-000002000000}" name="property_name"/>
    <tableColumn id="3" xr3:uid="{00000000-0010-0000-0000-000003000000}" name="city"/>
    <tableColumn id="4" xr3:uid="{00000000-0010-0000-0000-000004000000}" name="county"/>
    <tableColumn id="5" xr3:uid="{00000000-0010-0000-0000-000005000000}" name="state"/>
    <tableColumn id="6" xr3:uid="{00000000-0010-0000-0000-000006000000}" name="property_type"/>
    <tableColumn id="7" xr3:uid="{00000000-0010-0000-0000-000007000000}" name="year_built"/>
    <tableColumn id="8" xr3:uid="{00000000-0010-0000-0000-000008000000}" name="gross_floor_area_sqft"/>
    <tableColumn id="9" xr3:uid="{00000000-0010-0000-0000-000009000000}" name="units"/>
    <tableColumn id="10" xr3:uid="{00000000-0010-0000-0000-00000A000000}" name="occupancy_rate"/>
    <tableColumn id="11" xr3:uid="{00000000-0010-0000-0000-00000B000000}" name="affordable_units_pc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nergy_Monthly" displayName="Energy_Monthly" ref="A1:P121">
  <tableColumns count="16">
    <tableColumn id="1" xr3:uid="{00000000-0010-0000-0100-000001000000}" name="property_id"/>
    <tableColumn id="2" xr3:uid="{00000000-0010-0000-0100-000002000000}" name="property_name"/>
    <tableColumn id="3" xr3:uid="{00000000-0010-0000-0100-000003000000}" name="city"/>
    <tableColumn id="4" xr3:uid="{00000000-0010-0000-0100-000004000000}" name="county"/>
    <tableColumn id="5" xr3:uid="{00000000-0010-0000-0100-000005000000}" name="state"/>
    <tableColumn id="6" xr3:uid="{00000000-0010-0000-0100-000006000000}" name="property_type"/>
    <tableColumn id="7" xr3:uid="{00000000-0010-0000-0100-000007000000}" name="month"/>
    <tableColumn id="8" xr3:uid="{00000000-0010-0000-0100-000008000000}" name="electricity_kwh"/>
    <tableColumn id="9" xr3:uid="{00000000-0010-0000-0100-000009000000}" name="natural_gas_therms"/>
    <tableColumn id="10" xr3:uid="{00000000-0010-0000-0100-00000A000000}" name="electricity_cost_usd"/>
    <tableColumn id="11" xr3:uid="{00000000-0010-0000-0100-00000B000000}" name="natural_gas_cost_usd"/>
    <tableColumn id="12" xr3:uid="{00000000-0010-0000-0100-00000C000000}" name="electricity_rate_usd_kwh"/>
    <tableColumn id="13" xr3:uid="{00000000-0010-0000-0100-00000D000000}" name="gas_rate_usd_therm"/>
    <tableColumn id="14" xr3:uid="{00000000-0010-0000-0100-00000E000000}" name="owner_or_tenant_paid"/>
    <tableColumn id="15" xr3:uid="{00000000-0010-0000-0100-00000F000000}" name="data_quality"/>
    <tableColumn id="16" xr3:uid="{00000000-0010-0000-0100-000010000000}" name="source_not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Energy_Summary_Template" displayName="Energy_Summary_Template" ref="A1:Y11">
  <tableColumns count="25">
    <tableColumn id="1" xr3:uid="{00000000-0010-0000-0B00-000001000000}" name="property_id"/>
    <tableColumn id="2" xr3:uid="{00000000-0010-0000-0B00-000002000000}" name="property_name" dataDxfId="58">
      <calculatedColumnFormula>_xlfn.XLOOKUP(Energy_Summary_Template[[#This Row],[property_id]],Energy_Monthly[property_id],Energy_Monthly[property_name])</calculatedColumnFormula>
    </tableColumn>
    <tableColumn id="3" xr3:uid="{00000000-0010-0000-0B00-000003000000}" name="gross_floor_area_sqft" dataDxfId="57">
      <calculatedColumnFormula>_xlfn.XLOOKUP(A2,'01_input_asset_master'!A$2:A$11,'01_input_asset_master'!H$2:H$11)</calculatedColumnFormula>
    </tableColumn>
    <tableColumn id="4" xr3:uid="{00000000-0010-0000-0B00-000004000000}" name="units" dataDxfId="56">
      <calculatedColumnFormula>_xlfn.XLOOKUP(A2,'01_input_asset_master'!A$2:A$11,'01_input_asset_master'!I$2:I$11)</calculatedColumnFormula>
    </tableColumn>
    <tableColumn id="5" xr3:uid="{00000000-0010-0000-0B00-000005000000}" name="annual_electricity_kwh" dataDxfId="55">
      <calculatedColumnFormula>SUMIFS('02_input_energy_monthly'!H:H,'02_input_energy_monthly'!A:A,A2)</calculatedColumnFormula>
    </tableColumn>
    <tableColumn id="6" xr3:uid="{00000000-0010-0000-0B00-000006000000}" name="annual_natural_gas_therms" dataDxfId="54">
      <calculatedColumnFormula>SUMIFS('02_input_energy_monthly'!I:I,'02_input_energy_monthly'!A:A,A2)</calculatedColumnFormula>
    </tableColumn>
    <tableColumn id="7" xr3:uid="{00000000-0010-0000-0B00-000007000000}" name="annual_electricity_cost_usd" dataDxfId="53">
      <calculatedColumnFormula>SUMIFS('02_input_energy_monthly'!J:J,'02_input_energy_monthly'!A:A,A2)</calculatedColumnFormula>
    </tableColumn>
    <tableColumn id="8" xr3:uid="{00000000-0010-0000-0B00-000008000000}" name="annual_gas_cost_usd" dataDxfId="52">
      <calculatedColumnFormula>SUMIFS('02_input_energy_monthly'!K:K,'02_input_energy_monthly'!A:A,A2)</calculatedColumnFormula>
    </tableColumn>
    <tableColumn id="9" xr3:uid="{00000000-0010-0000-0B00-000009000000}" name="annual_total_energy_cost_usd" dataDxfId="51">
      <calculatedColumnFormula>Energy_Summary_Template[[#This Row],[annual_gas_cost_usd]]+Energy_Summary_Template[[#This Row],[annual_electricity_cost_usd]]</calculatedColumnFormula>
    </tableColumn>
    <tableColumn id="10" xr3:uid="{00000000-0010-0000-0B00-00000A000000}" name="electricity_kbtu" dataDxfId="50">
      <calculatedColumnFormula>E2*3.412</calculatedColumnFormula>
    </tableColumn>
    <tableColumn id="11" xr3:uid="{00000000-0010-0000-0B00-00000B000000}" name="natural_gas_kbtu" dataDxfId="49">
      <calculatedColumnFormula>F2*100</calculatedColumnFormula>
    </tableColumn>
    <tableColumn id="12" xr3:uid="{00000000-0010-0000-0B00-00000C000000}" name="total_energy_kbtu" dataDxfId="48">
      <calculatedColumnFormula>Energy_Summary_Template[[#This Row],[electricity_kbtu]]+Energy_Summary_Template[[#This Row],[natural_gas_kbtu]]</calculatedColumnFormula>
    </tableColumn>
    <tableColumn id="13" xr3:uid="{00000000-0010-0000-0B00-00000D000000}" name="site_eui_kbtu_sqft" dataDxfId="47">
      <calculatedColumnFormula>L2/C2</calculatedColumnFormula>
    </tableColumn>
    <tableColumn id="14" xr3:uid="{00000000-0010-0000-0B00-00000E000000}" name="electricity_intensity_kwh_sqft" dataDxfId="46">
      <calculatedColumnFormula>E2/C2</calculatedColumnFormula>
    </tableColumn>
    <tableColumn id="15" xr3:uid="{00000000-0010-0000-0B00-00000F000000}" name="gas_intensity_therms_sqft" dataDxfId="45">
      <calculatedColumnFormula>F2/C2</calculatedColumnFormula>
    </tableColumn>
    <tableColumn id="16" xr3:uid="{00000000-0010-0000-0B00-000010000000}" name="energy_cost_per_unit" dataDxfId="44">
      <calculatedColumnFormula>I2/D2</calculatedColumnFormula>
    </tableColumn>
    <tableColumn id="17" xr3:uid="{00000000-0010-0000-0B00-000011000000}" name="energy_cost_per_sqft" dataDxfId="43">
      <calculatedColumnFormula>I2/C2</calculatedColumnFormula>
    </tableColumn>
    <tableColumn id="18" xr3:uid="{00000000-0010-0000-0B00-000012000000}" name="months_with_energy_data" dataDxfId="42">
      <calculatedColumnFormula>COUNTIFS('02_input_energy_monthly'!A:A,A2,'02_input_energy_monthly'!H:H,"&gt;0")+COUNTIFS('02_input_energy_monthly'!A:A,A2,'02_input_energy_monthly'!H:H,0,'02_input_energy_monthly'!I:I,"&gt;0")</calculatedColumnFormula>
    </tableColumn>
    <tableColumn id="19" xr3:uid="{00000000-0010-0000-0B00-000013000000}" name="energy_data_coverage_pct" dataDxfId="41">
      <calculatedColumnFormula>R2/12</calculatedColumnFormula>
    </tableColumn>
    <tableColumn id="20" xr3:uid="{00000000-0010-0000-0B00-000014000000}" name="benchmark_site_eui" dataDxfId="40">
      <calculatedColumnFormula>59.6</calculatedColumnFormula>
    </tableColumn>
    <tableColumn id="21" xr3:uid="{00000000-0010-0000-0B00-000015000000}" name="eui_vs_benchmark" dataDxfId="39">
      <calculatedColumnFormula>M2-T2</calculatedColumnFormula>
    </tableColumn>
    <tableColumn id="22" xr3:uid="{00000000-0010-0000-0B00-000016000000}" name="energy_performance_flag" dataDxfId="38">
      <calculatedColumnFormula>IF(M2&gt;70,"High Energy Use",IF(M2&gt;59.6,"Above Benchmark","At/Below Benchmark"))</calculatedColumnFormula>
    </tableColumn>
    <tableColumn id="23" xr3:uid="{F8004813-2933-4601-96ED-D77202883C04}" name="energy_data_coverage_flag" dataDxfId="37">
      <calculatedColumnFormula>IF(S2&gt;=0.95,"Good",IF(S2&gt;=0.75,"Needs Review","Weak"))</calculatedColumnFormula>
    </tableColumn>
    <tableColumn id="24" xr3:uid="{F628255A-260D-4FEC-B33C-8696FEB26DA0}" name="energy_priority_rank" dataDxfId="36">
      <calculatedColumnFormula>_xlfn.RANK.EQ(M2,$M$2:$M$11,0)</calculatedColumnFormula>
    </tableColumn>
    <tableColumn id="25" xr3:uid="{0F403677-5D8C-47E6-AB69-412D1533ABEF}" name="recommended_energy_action" dataDxfId="35">
      <calculatedColumnFormula>IF(M2&gt;65,"Energy audit + heating system review",
IF(M2&gt;59.6,"Monitor + targeted efficiency upgrades",
"Maintain performance"))</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Water_Monthly" displayName="Water_Monthly" ref="A1:L121">
  <tableColumns count="12">
    <tableColumn id="1" xr3:uid="{00000000-0010-0000-0200-000001000000}" name="property_id"/>
    <tableColumn id="2" xr3:uid="{00000000-0010-0000-0200-000002000000}" name="property_name"/>
    <tableColumn id="3" xr3:uid="{00000000-0010-0000-0200-000003000000}" name="city"/>
    <tableColumn id="4" xr3:uid="{00000000-0010-0000-0200-000004000000}" name="county"/>
    <tableColumn id="5" xr3:uid="{00000000-0010-0000-0200-000005000000}" name="month"/>
    <tableColumn id="6" xr3:uid="{00000000-0010-0000-0200-000006000000}" name="water_gallons"/>
    <tableColumn id="7" xr3:uid="{00000000-0010-0000-0200-000007000000}" name="water_cost_usd"/>
    <tableColumn id="8" xr3:uid="{00000000-0010-0000-0200-000008000000}" name="sewer_cost_usd"/>
    <tableColumn id="9" xr3:uid="{00000000-0010-0000-0200-000009000000}" name="irrigation_included"/>
    <tableColumn id="10" xr3:uid="{00000000-0010-0000-0200-00000A000000}" name="owner_or_tenant_paid"/>
    <tableColumn id="11" xr3:uid="{00000000-0010-0000-0200-00000B000000}" name="data_quality"/>
    <tableColumn id="12" xr3:uid="{00000000-0010-0000-0200-00000C000000}" name="not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Waste_Monthly" displayName="Waste_Monthly" ref="A1:K121">
  <tableColumns count="11">
    <tableColumn id="1" xr3:uid="{00000000-0010-0000-0300-000001000000}" name="property_id"/>
    <tableColumn id="2" xr3:uid="{00000000-0010-0000-0300-000002000000}" name="property_name"/>
    <tableColumn id="3" xr3:uid="{00000000-0010-0000-0300-000003000000}" name="city"/>
    <tableColumn id="6" xr3:uid="{00000000-0010-0000-0300-000006000000}" name="month"/>
    <tableColumn id="7" xr3:uid="{00000000-0010-0000-0300-000007000000}" name="landfill_tons"/>
    <tableColumn id="8" xr3:uid="{00000000-0010-0000-0300-000008000000}" name="recycling_tons"/>
    <tableColumn id="9" xr3:uid="{00000000-0010-0000-0300-000009000000}" name="compost_tons"/>
    <tableColumn id="10" xr3:uid="{00000000-0010-0000-0300-00000A000000}" name="waste_cost_usd"/>
    <tableColumn id="11" xr3:uid="{00000000-0010-0000-0300-00000B000000}" name="vendor"/>
    <tableColumn id="12" xr3:uid="{00000000-0010-0000-0300-00000C000000}" name="data_quality"/>
    <tableColumn id="13" xr3:uid="{00000000-0010-0000-0300-00000D000000}" name="source_note" dataDxfId="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Emission_Factors" displayName="Emission_Factors" ref="A1:P7">
  <tableColumns count="16">
    <tableColumn id="1" xr3:uid="{00000000-0010-0000-0400-000001000000}" name="factor_id"/>
    <tableColumn id="2" xr3:uid="{00000000-0010-0000-0400-000002000000}" name="source_name"/>
    <tableColumn id="3" xr3:uid="{00000000-0010-0000-0400-000003000000}" name="source_year"/>
    <tableColumn id="4" xr3:uid="{00000000-0010-0000-0400-000004000000}" name="geography"/>
    <tableColumn id="5" xr3:uid="{00000000-0010-0000-0400-000005000000}" name="fuel_or_energy_type"/>
    <tableColumn id="6" xr3:uid="{00000000-0010-0000-0400-000006000000}" name="scope"/>
    <tableColumn id="7" xr3:uid="{00000000-0010-0000-0400-000007000000}" name="input_unit"/>
    <tableColumn id="8" xr3:uid="{00000000-0010-0000-0400-000008000000}" name="co2_factor"/>
    <tableColumn id="9" xr3:uid="{00000000-0010-0000-0400-000009000000}" name="ch4_factor"/>
    <tableColumn id="10" xr3:uid="{00000000-0010-0000-0400-00000A000000}" name="n2o_factor"/>
    <tableColumn id="11" xr3:uid="{00000000-0010-0000-0400-00000B000000}" name="co2e_factor"/>
    <tableColumn id="12" xr3:uid="{00000000-0010-0000-0400-00000C000000}" name="co2e_unit"/>
    <tableColumn id="13" xr3:uid="{00000000-0010-0000-0400-00000D000000}" name="conversion_notes"/>
    <tableColumn id="14" xr3:uid="{00000000-0010-0000-0400-00000E000000}" name="source_url"/>
    <tableColumn id="15" xr3:uid="{00000000-0010-0000-0400-00000F000000}" name="use_in_project"/>
    <tableColumn id="16" xr3:uid="{00000000-0010-0000-0400-000010000000}" name="quality_not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Benchmark_Data" displayName="Benchmark_Data" ref="A1:K11">
  <tableColumns count="11">
    <tableColumn id="1" xr3:uid="{00000000-0010-0000-0500-000001000000}" name="benchmark_id"/>
    <tableColumn id="2" xr3:uid="{00000000-0010-0000-0500-000002000000}" name="category"/>
    <tableColumn id="3" xr3:uid="{00000000-0010-0000-0500-000003000000}" name="property_type"/>
    <tableColumn id="4" xr3:uid="{00000000-0010-0000-0500-000004000000}" name="benchmark_metric"/>
    <tableColumn id="5" xr3:uid="{00000000-0010-0000-0500-000005000000}" name="benchmark_value"/>
    <tableColumn id="6" xr3:uid="{00000000-0010-0000-0500-000006000000}" name="unit"/>
    <tableColumn id="7" xr3:uid="{00000000-0010-0000-0500-000007000000}" name="source_name"/>
    <tableColumn id="8" xr3:uid="{00000000-0010-0000-0500-000008000000}" name="source_year"/>
    <tableColumn id="9" xr3:uid="{00000000-0010-0000-0500-000009000000}" name="source_url"/>
    <tableColumn id="10" xr3:uid="{00000000-0010-0000-0500-00000A000000}" name="how_to_use"/>
    <tableColumn id="11" xr3:uid="{00000000-0010-0000-0500-00000B000000}" name="note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C30D004-86A4-4964-B9F7-6CA98BB348DC}" name="Table16" displayName="Table16" ref="A1:AE11" totalsRowShown="0" headerRowDxfId="33" headerRowBorderDxfId="32" tableBorderDxfId="31" headerRowCellStyle="Good">
  <autoFilter ref="A1:AE11" xr:uid="{0C30D004-86A4-4964-B9F7-6CA98BB348DC}"/>
  <sortState xmlns:xlrd2="http://schemas.microsoft.com/office/spreadsheetml/2017/richdata2" ref="A2:AC11">
    <sortCondition ref="AA1:AA11"/>
  </sortState>
  <tableColumns count="31">
    <tableColumn id="1" xr3:uid="{680B91C4-F20A-4009-9932-F0BD3886102C}" name="property_id" dataDxfId="30"/>
    <tableColumn id="2" xr3:uid="{4BEB4F74-65F2-4417-BD10-BA1B2E14A521}" name="property_name" dataDxfId="29">
      <calculatedColumnFormula>_xlfn.XLOOKUP(A2,'01_input_asset_master'!A$2:A$11,'01_input_asset_master'!B$2:B$11)</calculatedColumnFormula>
    </tableColumn>
    <tableColumn id="3" xr3:uid="{708D8D6A-8C6A-4E82-8C26-48885BCC68CD}" name="gross_floor_area_sqft" dataDxfId="28">
      <calculatedColumnFormula>_xlfn.XLOOKUP(A2,'01_input_asset_master'!A$2:A$11,'01_input_asset_master'!H$2:H$11)</calculatedColumnFormula>
    </tableColumn>
    <tableColumn id="4" xr3:uid="{9AEEE999-ADD6-4357-8DA6-D0EF3A6F5A14}" name="units" dataDxfId="27">
      <calculatedColumnFormula>_xlfn.XLOOKUP(A2,'01_input_asset_master'!A$2:A$11,'01_input_asset_master'!I$2:I$11)</calculatedColumnFormula>
    </tableColumn>
    <tableColumn id="5" xr3:uid="{415A48B9-2E18-4AD9-A1D4-C0F8D2496F83}" name="site_eui_kbtu_sqft" dataDxfId="26">
      <calculatedColumnFormula>_xlfn.XLOOKUP($A2,'11_calc_energy_summary'!$A$2:$A$11,'11_calc_energy_summary'!$M$2:$M$11)</calculatedColumnFormula>
    </tableColumn>
    <tableColumn id="6" xr3:uid="{F9A5E9BF-134E-4419-BC40-63D2B579AAA4}" name="energy_performance_flag" dataDxfId="25">
      <calculatedColumnFormula>_xlfn.XLOOKUP($A2,'11_calc_energy_summary'!$A$2:$A$11,'11_calc_energy_summary'!$V$2:$V$11)</calculatedColumnFormula>
    </tableColumn>
    <tableColumn id="7" xr3:uid="{F8086733-9F76-4200-BFC1-7E088FD54F33}" name="energy_cost_per_unit" dataDxfId="24">
      <calculatedColumnFormula>_xlfn.XLOOKUP(A2,'11_calc_energy_summary'!A$2:A$11,'11_calc_energy_summary'!P$2:P$11)</calculatedColumnFormula>
    </tableColumn>
    <tableColumn id="8" xr3:uid="{E79456EC-61A0-426D-92BD-B307F72A4E05}" name="energy_priority_rank" dataDxfId="23">
      <calculatedColumnFormula>_xlfn.RANK.EQ(E2,$E$2:$E$11,0)</calculatedColumnFormula>
    </tableColumn>
    <tableColumn id="9" xr3:uid="{7F0D6545-B05A-43A9-8F9E-F707A14D8A7B}" name="annual_water_gallons" dataDxfId="22">
      <calculatedColumnFormula>_xlfn.XLOOKUP(A2,'12_calc_water_summary'!A$2:A$11,'12_calc_water_summary'!E$2:E$11)</calculatedColumnFormula>
    </tableColumn>
    <tableColumn id="10" xr3:uid="{BA27A6F0-17B8-431A-A56B-D1D7D25EE409}" name="water_per_unit_gal" dataDxfId="21">
      <calculatedColumnFormula>_xlfn.XLOOKUP($A2,'12_calc_water_summary'!$A$2:$A$11,'12_calc_water_summary'!$J$2:$J$11)</calculatedColumnFormula>
    </tableColumn>
    <tableColumn id="11" xr3:uid="{23292F65-5421-4E0C-AABE-A3CB47BBCB49}" name="water_cost_per_unit" dataDxfId="20">
      <calculatedColumnFormula>_xlfn.XLOOKUP(A2,'12_calc_water_summary'!A$2:A$11,'12_calc_water_summary'!K$2:K$11)</calculatedColumnFormula>
    </tableColumn>
    <tableColumn id="12" xr3:uid="{0A8FC470-64A4-4073-8BE6-8169CAD0A8B6}" name="water_performance_flag" dataDxfId="19">
      <calculatedColumnFormula>_xlfn.XLOOKUP($A2,'12_calc_water_summary'!$A$2:$A$11,'12_calc_water_summary'!$O$2:$O$11)</calculatedColumnFormula>
    </tableColumn>
    <tableColumn id="13" xr3:uid="{76803813-D8BD-4B52-93A7-43C2A7509376}" name="annual_total_waste_tons" dataDxfId="18">
      <calculatedColumnFormula>_xlfn.XLOOKUP(A2,'13_calc_waste_summary'!A$2:A$11,'13_calc_waste_summary'!H$2:H$11)</calculatedColumnFormula>
    </tableColumn>
    <tableColumn id="14" xr3:uid="{1F32C58D-4A2D-428D-94D4-C03D2AF7BCD7}" name="waste_per_unit_tons" dataDxfId="17">
      <calculatedColumnFormula>_xlfn.XLOOKUP($A2,'13_calc_waste_summary'!$A$2:$A$11,'13_calc_waste_summary'!$L$2:$L$11)</calculatedColumnFormula>
    </tableColumn>
    <tableColumn id="15" xr3:uid="{32016305-A4EA-4756-8112-D6E4702D78AF}" name="waste_diversion_rate" dataDxfId="16" dataCellStyle="Percent">
      <calculatedColumnFormula>_xlfn.XLOOKUP($A2,'13_calc_waste_summary'!$A$2:$A$11,'13_calc_waste_summary'!$K$2:$K$11)</calculatedColumnFormula>
    </tableColumn>
    <tableColumn id="16" xr3:uid="{BE34A2BA-5541-4051-8528-92A86BE7FB64}" name="waste_performance_flag" dataDxfId="15">
      <calculatedColumnFormula>_xlfn.XLOOKUP(A2,'13_calc_waste_summary'!A$2:A$11,'13_calc_waste_summary'!R$2:R$11)</calculatedColumnFormula>
    </tableColumn>
    <tableColumn id="17" xr3:uid="{4101992C-1781-4414-B565-F0E34F2AF211}" name="diversion_performance_flag" dataDxfId="14">
      <calculatedColumnFormula>_xlfn.XLOOKUP(A2,'13_calc_waste_summary'!A$2:A$11,'13_calc_waste_summary'!S$2:S$11)</calculatedColumnFormula>
    </tableColumn>
    <tableColumn id="18" xr3:uid="{DC40A5CF-F25D-4969-BE52-1AACE2EF94A2}" name="total_scope1_scope2_emissions_tco2e" dataDxfId="13">
      <calculatedColumnFormula>_xlfn.XLOOKUP(A2,'14_calc_emissions_summary'!A$2:A$11,'14_calc_emissions_summary'!K$2:K$11)</calculatedColumnFormula>
    </tableColumn>
    <tableColumn id="19" xr3:uid="{EB1A2E5A-B49F-4A1C-B8B6-C51FBFAD000B}" name="emissions_intensity_kgco2e_sqft" dataDxfId="12">
      <calculatedColumnFormula>_xlfn.XLOOKUP($A2,'14_calc_emissions_summary'!$A$2:$A$11,'14_calc_emissions_summary'!$L$2:$L$11)</calculatedColumnFormula>
    </tableColumn>
    <tableColumn id="20" xr3:uid="{A561AFF0-30F4-4EF5-B526-396734B37A20}" name="emissions_per_unit_tco2e" dataDxfId="11">
      <calculatedColumnFormula>_xlfn.XLOOKUP(A2,'14_calc_emissions_summary'!A$2:A$11,'14_calc_emissions_summary'!M$2:M$11)</calculatedColumnFormula>
    </tableColumn>
    <tableColumn id="21" xr3:uid="{7FA99A3B-E377-4918-B659-27BCF7690DCD}" name="carbon_performance_flag" dataDxfId="10">
      <calculatedColumnFormula>_xlfn.XLOOKUP($A2,'14_calc_emissions_summary'!$A$2:$A$11,'14_calc_emissions_summary'!$P$2:$P$11)</calculatedColumnFormula>
    </tableColumn>
    <tableColumn id="22" xr3:uid="{7BADE49C-5FDC-4DB4-B472-A5C773438595}" name="carbon_priority_rank" dataDxfId="9">
      <calculatedColumnFormula>_xlfn.XLOOKUP(A2,'14_calc_emissions_summary'!A$2:A$11,'14_calc_emissions_summary'!Q$2:Q$11)</calculatedColumnFormula>
    </tableColumn>
    <tableColumn id="23" xr3:uid="{EA99BA2D-725B-42FA-AF60-55C38376A30E}" name="energy_data_coverage_pct" dataDxfId="8" dataCellStyle="Percent">
      <calculatedColumnFormula>_xlfn.XLOOKUP($A2,'11_calc_energy_summary'!$A$2:$A$11,'11_calc_energy_summary'!$S$2:$S$11)</calculatedColumnFormula>
    </tableColumn>
    <tableColumn id="24" xr3:uid="{B535EC33-EC5F-42FB-8A5A-375D3D7FD2B9}" name="water_data_coverage_pct" dataDxfId="7" dataCellStyle="Percent">
      <calculatedColumnFormula>_xlfn.XLOOKUP(A2,'12_calc_water_summary'!A$2:A$11,'12_calc_water_summary'!N$2:N$11)</calculatedColumnFormula>
    </tableColumn>
    <tableColumn id="25" xr3:uid="{87948ADC-BF10-4E13-AEBF-0384968E0835}" name="waste_data_coverage_pct" dataDxfId="6" dataCellStyle="Percent">
      <calculatedColumnFormula>_xlfn.XLOOKUP(A2,'13_calc_waste_summary'!A$2:A$11,'13_calc_waste_summary'!Q$2:Q$11)</calculatedColumnFormula>
    </tableColumn>
    <tableColumn id="26" xr3:uid="{C77CB871-981E-4828-AAB0-ED4AFF8ABB37}" name="integrated_priority_score" dataDxfId="5">
      <calculatedColumnFormula>IF(F2="High Energy Use",3,IF(F2="Above Benchmark",2,1))+IF(L2="High Water Use",3,IF(L2="Moderate",2,1))+IF(P2="High Waste",3,IF(P2="Moderate",2,1))+IF(U2="High Carbon Intensity",3,IF(U2="Moderate Carbon Intensity",2,1))+IF(Q2="Weak Diversion",1,0)+IF(MIN(W2:Y2)&lt;0.95,1,0)</calculatedColumnFormula>
    </tableColumn>
    <tableColumn id="27" xr3:uid="{B77F0BAE-422B-41BF-A90C-E26F70DAB60D}" name="integrated_priority_rank" dataDxfId="4">
      <calculatedColumnFormula>_xlfn.RANK.EQ(Z2,$Z$2:$Z$11,0)</calculatedColumnFormula>
    </tableColumn>
    <tableColumn id="28" xr3:uid="{80A1D104-65FA-4599-854C-26B713F146F7}" name="overall_priority_flag" dataDxfId="3">
      <calculatedColumnFormula>IF(Z2&gt;=10,"High Portfolio Priority",IF(Z2&gt;=8,"Medium Portfolio Priority","Lower Portfolio Priority"))</calculatedColumnFormula>
    </tableColumn>
    <tableColumn id="29" xr3:uid="{81B27301-AC6A-4024-BDA6-773D5C398D40}" name="recommended_integrated_action" dataDxfId="2">
      <calculatedColumnFormula>IF(AND(F2="Above Benchmark",U2="High Carbon Intensity",P2="High Waste",Q2="Weak Diversion"),"Comprehensive audit: energy, carbon, and waste/diversion",IF(AND(F2="Above Benchmark",U2="High Carbon Intensity"),"Energy and carbon retrofit focus",IF(AND(P2="High Waste",Q2="Weak Diversion"),"Waste audit + recycling/diversion program",IF(L2="High Water Use","Water audit + leak detection + fixture review","Maintain performance + monitor KPIs"))))</calculatedColumnFormula>
    </tableColumn>
    <tableColumn id="30" xr3:uid="{0B36AB03-1A3C-4ECD-ABED-0BF239D6806F}" name="number_of_major_issues" dataDxfId="1">
      <calculatedColumnFormula>IF(OR(F2="Above Benchmark",F2="High Energy Use"),1,0)+IF(L2="High Water Use",1,0)+IF(P2="High Waste",1,0)+IF(Q2="Weak Diversion",1,0)+IF(U2="High Carbon Intensity",1,0)</calculatedColumnFormula>
    </tableColumn>
    <tableColumn id="31" xr3:uid="{8CEB9E2B-0E38-487C-8CE5-9C2B7FC92352}" name="primary_issue" dataDxfId="0">
      <calculatedColumnFormula>IF(AND(F2="Above Benchmark",U2="High Carbon Intensity"),"Energy + Carbon",IF(AND(P2="High Waste",Q2="Weak Diversion"),"Waste + Diversion",IF(F2="Above Benchmark","Energy",IF(U2="High Carbon Intensity","Carbon",IF(L2="High Water Use","Water","Monitor")))))</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Community_ACS" displayName="Community_ACS" ref="A1:V11">
  <tableColumns count="22">
    <tableColumn id="1" xr3:uid="{00000000-0010-0000-0600-000001000000}" name="property_id"/>
    <tableColumn id="2" xr3:uid="{00000000-0010-0000-0600-000002000000}" name="property_name"/>
    <tableColumn id="3" xr3:uid="{00000000-0010-0000-0600-000003000000}" name="city"/>
    <tableColumn id="4" xr3:uid="{00000000-0010-0000-0600-000004000000}" name="county"/>
    <tableColumn id="5" xr3:uid="{00000000-0010-0000-0600-000005000000}" name="state"/>
    <tableColumn id="6" xr3:uid="{00000000-0010-0000-0600-000006000000}" name="geoid_county"/>
    <tableColumn id="7" xr3:uid="{00000000-0010-0000-0600-000007000000}" name="geography_level"/>
    <tableColumn id="8" xr3:uid="{00000000-0010-0000-0600-000008000000}" name="median_household_income_usd_2020_2024"/>
    <tableColumn id="9" xr3:uid="{00000000-0010-0000-0600-000009000000}" name="poverty_rate"/>
    <tableColumn id="10" xr3:uid="{00000000-0010-0000-0600-00000A000000}" name="owner_occupied_rate"/>
    <tableColumn id="11" xr3:uid="{00000000-0010-0000-0600-00000B000000}" name="renter_occupied_rate"/>
    <tableColumn id="12" xr3:uid="{00000000-0010-0000-0600-00000C000000}" name="population_under_5_pct"/>
    <tableColumn id="13" xr3:uid="{00000000-0010-0000-0600-00000D000000}" name="population_over_65_pct"/>
    <tableColumn id="14" xr3:uid="{00000000-0010-0000-0600-00000E000000}" name="language_other_than_english_pct"/>
    <tableColumn id="15" xr3:uid="{00000000-0010-0000-0600-00000F000000}" name="median_gross_rent_usd"/>
    <tableColumn id="16" xr3:uid="{00000000-0010-0000-0600-000010000000}" name="rent_burden_rate"/>
    <tableColumn id="17" xr3:uid="{00000000-0010-0000-0600-000011000000}" name="rent_burden_note"/>
    <tableColumn id="18" xr3:uid="{00000000-0010-0000-0600-000012000000}" name="social_vulnerability_flag"/>
    <tableColumn id="19" xr3:uid="{00000000-0010-0000-0600-000013000000}" name="income_vs_wi_median_flag"/>
    <tableColumn id="20" xr3:uid="{00000000-0010-0000-0600-000014000000}" name="source_year"/>
    <tableColumn id="21" xr3:uid="{00000000-0010-0000-0600-000015000000}" name="source_name"/>
    <tableColumn id="22" xr3:uid="{00000000-0010-0000-0600-000016000000}" name="source_url"/>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Climate_Risk_FEMA" displayName="Climate_Risk_FEMA" ref="A1:V11">
  <tableColumns count="22">
    <tableColumn id="1" xr3:uid="{00000000-0010-0000-0700-000001000000}" name="property_id"/>
    <tableColumn id="2" xr3:uid="{00000000-0010-0000-0700-000002000000}" name="property_name"/>
    <tableColumn id="3" xr3:uid="{00000000-0010-0000-0700-000003000000}" name="city"/>
    <tableColumn id="4" xr3:uid="{00000000-0010-0000-0700-000004000000}" name="county"/>
    <tableColumn id="5" xr3:uid="{00000000-0010-0000-0700-000005000000}" name="state"/>
    <tableColumn id="6" xr3:uid="{00000000-0010-0000-0700-000006000000}" name="overall_risk_score_0_100"/>
    <tableColumn id="7" xr3:uid="{00000000-0010-0000-0700-000007000000}" name="overall_risk_rating"/>
    <tableColumn id="8" xr3:uid="{00000000-0010-0000-0700-000008000000}" name="national_percentile"/>
    <tableColumn id="9" xr3:uid="{00000000-0010-0000-0700-000009000000}" name="expected_annual_loss_musd"/>
    <tableColumn id="10" xr3:uid="{00000000-0010-0000-0700-00000A000000}" name="social_vulnerability_rating"/>
    <tableColumn id="11" xr3:uid="{00000000-0010-0000-0700-00000B000000}" name="community_resilience_rating"/>
    <tableColumn id="12" xr3:uid="{00000000-0010-0000-0700-00000C000000}" name="top_hazard_1"/>
    <tableColumn id="13" xr3:uid="{00000000-0010-0000-0700-00000D000000}" name="top_hazard_1_rating"/>
    <tableColumn id="14" xr3:uid="{00000000-0010-0000-0700-00000E000000}" name="top_hazard_2"/>
    <tableColumn id="15" xr3:uid="{00000000-0010-0000-0700-00000F000000}" name="top_hazard_2_rating"/>
    <tableColumn id="16" xr3:uid="{00000000-0010-0000-0700-000010000000}" name="top_hazard_3"/>
    <tableColumn id="17" xr3:uid="{00000000-0010-0000-0700-000011000000}" name="top_hazard_3_rating"/>
    <tableColumn id="18" xr3:uid="{00000000-0010-0000-0700-000012000000}" name="data_granularity"/>
    <tableColumn id="19" xr3:uid="{00000000-0010-0000-0700-000013000000}" name="source_year_version"/>
    <tableColumn id="20" xr3:uid="{00000000-0010-0000-0700-000014000000}" name="source_name"/>
    <tableColumn id="21" xr3:uid="{00000000-0010-0000-0700-000015000000}" name="source_url"/>
    <tableColumn id="22" xr3:uid="{00000000-0010-0000-0700-000016000000}" name="note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EJ_CEJST" displayName="EJ_CEJST" ref="A1:T11">
  <tableColumns count="20">
    <tableColumn id="1" xr3:uid="{00000000-0010-0000-0800-000001000000}" name="property_id"/>
    <tableColumn id="2" xr3:uid="{00000000-0010-0000-0800-000002000000}" name="property_name"/>
    <tableColumn id="3" xr3:uid="{00000000-0010-0000-0800-000003000000}" name="city"/>
    <tableColumn id="4" xr3:uid="{00000000-0010-0000-0800-000004000000}" name="county"/>
    <tableColumn id="5" xr3:uid="{00000000-0010-0000-0800-000005000000}" name="state"/>
    <tableColumn id="6" xr3:uid="{00000000-0010-0000-0800-000006000000}" name="address_or_latlong_status"/>
    <tableColumn id="7" xr3:uid="{00000000-0010-0000-0800-000007000000}" name="census_tract_status"/>
    <tableColumn id="8" xr3:uid="{00000000-0010-0000-0800-000008000000}" name="cejst_disadvantaged_proxy"/>
    <tableColumn id="9" xr3:uid="{00000000-0010-0000-0800-000009000000}" name="energy_burden_flag_proxy"/>
    <tableColumn id="10" xr3:uid="{00000000-0010-0000-0800-00000A000000}" name="housing_burden_flag_proxy"/>
    <tableColumn id="11" xr3:uid="{00000000-0010-0000-0800-00000B000000}" name="legacy_pollution_flag_proxy"/>
    <tableColumn id="12" xr3:uid="{00000000-0010-0000-0800-00000C000000}" name="transportation_barrier_flag_proxy"/>
    <tableColumn id="13" xr3:uid="{00000000-0010-0000-0800-00000D000000}" name="water_wastewater_flag_proxy"/>
    <tableColumn id="14" xr3:uid="{00000000-0010-0000-0800-00000E000000}" name="low_income_flag_proxy"/>
    <tableColumn id="15" xr3:uid="{00000000-0010-0000-0800-00000F000000}" name="tribal_or_rural_context_flag"/>
    <tableColumn id="16" xr3:uid="{00000000-0010-0000-0800-000010000000}" name="priority_lidac_screen"/>
    <tableColumn id="17" xr3:uid="{00000000-0010-0000-0800-000011000000}" name="data_confidence"/>
    <tableColumn id="18" xr3:uid="{00000000-0010-0000-0800-000012000000}" name="recommended_next_step"/>
    <tableColumn id="19" xr3:uid="{00000000-0010-0000-0800-000013000000}" name="source_urls"/>
    <tableColumn id="20" xr3:uid="{00000000-0010-0000-0800-000014000000}" name="note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Retrofit_Options" displayName="Retrofit_Options" ref="A1:T91">
  <tableColumns count="20">
    <tableColumn id="1" xr3:uid="{00000000-0010-0000-0900-000001000000}" name="property_id"/>
    <tableColumn id="2" xr3:uid="{00000000-0010-0000-0900-000002000000}" name="property_name"/>
    <tableColumn id="3" xr3:uid="{00000000-0010-0000-0900-000003000000}" name="city"/>
    <tableColumn id="4" xr3:uid="{00000000-0010-0000-0900-000004000000}" name="county"/>
    <tableColumn id="5" xr3:uid="{00000000-0010-0000-0900-000005000000}" name="measure_id"/>
    <tableColumn id="6" xr3:uid="{00000000-0010-0000-0900-000006000000}" name="measure_name"/>
    <tableColumn id="7" xr3:uid="{00000000-0010-0000-0900-000007000000}" name="category"/>
    <tableColumn id="8" xr3:uid="{00000000-0010-0000-0900-000008000000}" name="capital_cost_usd"/>
    <tableColumn id="9" xr3:uid="{00000000-0010-0000-0900-000009000000}" name="eligible_incentive_usd"/>
    <tableColumn id="10" xr3:uid="{00000000-0010-0000-0900-00000A000000}" name="annual_electricity_savings_kwh"/>
    <tableColumn id="11" xr3:uid="{00000000-0010-0000-0900-00000B000000}" name="annual_gas_savings_therms"/>
    <tableColumn id="12" xr3:uid="{00000000-0010-0000-0900-00000C000000}" name="annual_water_savings_gal"/>
    <tableColumn id="13" xr3:uid="{00000000-0010-0000-0900-00000D000000}" name="annual_cost_savings_usd"/>
    <tableColumn id="14" xr3:uid="{00000000-0010-0000-0900-00000E000000}" name="useful_life_years"/>
    <tableColumn id="15" xr3:uid="{00000000-0010-0000-0900-00000F000000}" name="tenant_benefit_score_1_5"/>
    <tableColumn id="16" xr3:uid="{00000000-0010-0000-0900-000010000000}" name="owner_benefit_score_1_5"/>
    <tableColumn id="17" xr3:uid="{00000000-0010-0000-0900-000011000000}" name="implementation_difficulty"/>
    <tableColumn id="18" xr3:uid="{00000000-0010-0000-0900-000012000000}" name="source_basis"/>
    <tableColumn id="19" xr3:uid="{00000000-0010-0000-0900-000013000000}" name="data_confidence"/>
    <tableColumn id="20" xr3:uid="{00000000-0010-0000-0900-000014000000}" name="notes"/>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GRESB_Evidence_Checklist" displayName="GRESB_Evidence_Checklist" ref="A1:K12">
  <tableColumns count="11">
    <tableColumn id="1" xr3:uid="{00000000-0010-0000-0A00-000001000000}" name="indicator_id"/>
    <tableColumn id="2" xr3:uid="{00000000-0010-0000-0A00-000002000000}" name="gresb_area"/>
    <tableColumn id="3" xr3:uid="{00000000-0010-0000-0A00-000003000000}" name="indicator_name"/>
    <tableColumn id="4" xr3:uid="{00000000-0010-0000-0A00-000004000000}" name="evidence_required"/>
    <tableColumn id="5" xr3:uid="{00000000-0010-0000-0A00-000005000000}" name="current_status"/>
    <tableColumn id="6" xr3:uid="{00000000-0010-0000-0A00-000006000000}" name="evidence_available_yes_no"/>
    <tableColumn id="7" xr3:uid="{00000000-0010-0000-0A00-000007000000}" name="data_source_to_check"/>
    <tableColumn id="8" xr3:uid="{00000000-0010-0000-0A00-000008000000}" name="responsible_team"/>
    <tableColumn id="9" xr3:uid="{00000000-0010-0000-0A00-000009000000}" name="priority"/>
    <tableColumn id="10" xr3:uid="{00000000-0010-0000-0A00-00000A000000}" name="notes"/>
    <tableColumn id="11" xr3:uid="{00000000-0010-0000-0A00-00000B000000}" name="source_url"/>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
  <sheetViews>
    <sheetView workbookViewId="0">
      <selection activeCell="C28" sqref="C28"/>
    </sheetView>
  </sheetViews>
  <sheetFormatPr defaultRowHeight="14.25"/>
  <cols>
    <col min="1" max="26" width="18" customWidth="1"/>
  </cols>
  <sheetData>
    <row r="1" spans="1:11" ht="30">
      <c r="A1" s="1" t="s">
        <v>0</v>
      </c>
      <c r="B1" s="1" t="s">
        <v>1</v>
      </c>
      <c r="C1" s="1" t="s">
        <v>2</v>
      </c>
      <c r="D1" s="1" t="s">
        <v>3</v>
      </c>
      <c r="E1" s="1" t="s">
        <v>4</v>
      </c>
      <c r="F1" s="1" t="s">
        <v>5</v>
      </c>
      <c r="G1" s="4" t="s">
        <v>6</v>
      </c>
      <c r="H1" s="4" t="s">
        <v>7</v>
      </c>
      <c r="I1" s="4" t="s">
        <v>8</v>
      </c>
      <c r="J1" s="4" t="s">
        <v>9</v>
      </c>
      <c r="K1" s="4" t="s">
        <v>10</v>
      </c>
    </row>
    <row r="2" spans="1:11" ht="28.5">
      <c r="A2" s="3" t="s">
        <v>11</v>
      </c>
      <c r="B2" s="3" t="s">
        <v>12</v>
      </c>
      <c r="C2" s="3" t="s">
        <v>13</v>
      </c>
      <c r="D2" s="3" t="s">
        <v>14</v>
      </c>
      <c r="E2" s="3" t="s">
        <v>15</v>
      </c>
      <c r="F2" s="3" t="s">
        <v>16</v>
      </c>
      <c r="G2" s="3">
        <v>1988</v>
      </c>
      <c r="H2" s="3">
        <v>165000</v>
      </c>
      <c r="I2" s="3">
        <v>180</v>
      </c>
      <c r="J2" s="3">
        <v>0.94</v>
      </c>
      <c r="K2" s="3">
        <v>0.25</v>
      </c>
    </row>
    <row r="3" spans="1:11">
      <c r="A3" s="3" t="s">
        <v>17</v>
      </c>
      <c r="B3" s="3" t="s">
        <v>18</v>
      </c>
      <c r="C3" s="3" t="s">
        <v>19</v>
      </c>
      <c r="D3" s="3" t="s">
        <v>19</v>
      </c>
      <c r="E3" s="3" t="s">
        <v>15</v>
      </c>
      <c r="F3" s="3" t="s">
        <v>16</v>
      </c>
      <c r="G3" s="3">
        <v>1975</v>
      </c>
      <c r="H3" s="3">
        <v>220000</v>
      </c>
      <c r="I3" s="3">
        <v>240</v>
      </c>
      <c r="J3" s="3">
        <v>0.91</v>
      </c>
      <c r="K3" s="3">
        <v>0.6</v>
      </c>
    </row>
    <row r="4" spans="1:11">
      <c r="A4" s="3" t="s">
        <v>20</v>
      </c>
      <c r="B4" s="3" t="s">
        <v>21</v>
      </c>
      <c r="C4" s="3" t="s">
        <v>22</v>
      </c>
      <c r="D4" s="3" t="s">
        <v>23</v>
      </c>
      <c r="E4" s="3" t="s">
        <v>15</v>
      </c>
      <c r="F4" s="3" t="s">
        <v>16</v>
      </c>
      <c r="G4" s="3">
        <v>1995</v>
      </c>
      <c r="H4" s="3">
        <v>145000</v>
      </c>
      <c r="I4" s="3">
        <v>160</v>
      </c>
      <c r="J4" s="3">
        <v>0.96</v>
      </c>
      <c r="K4" s="3">
        <v>0.15</v>
      </c>
    </row>
    <row r="5" spans="1:11" ht="28.5">
      <c r="A5" s="3" t="s">
        <v>24</v>
      </c>
      <c r="B5" s="3" t="s">
        <v>25</v>
      </c>
      <c r="C5" s="3" t="s">
        <v>26</v>
      </c>
      <c r="D5" s="3" t="s">
        <v>27</v>
      </c>
      <c r="E5" s="3" t="s">
        <v>15</v>
      </c>
      <c r="F5" s="3" t="s">
        <v>16</v>
      </c>
      <c r="G5" s="3">
        <v>1982</v>
      </c>
      <c r="H5" s="3">
        <v>120000</v>
      </c>
      <c r="I5" s="3">
        <v>130</v>
      </c>
      <c r="J5" s="3">
        <v>0.93</v>
      </c>
      <c r="K5" s="3">
        <v>0.4</v>
      </c>
    </row>
    <row r="6" spans="1:11">
      <c r="A6" s="3" t="s">
        <v>28</v>
      </c>
      <c r="B6" s="3" t="s">
        <v>29</v>
      </c>
      <c r="C6" s="3" t="s">
        <v>30</v>
      </c>
      <c r="D6" s="3" t="s">
        <v>30</v>
      </c>
      <c r="E6" s="3" t="s">
        <v>15</v>
      </c>
      <c r="F6" s="3" t="s">
        <v>16</v>
      </c>
      <c r="G6" s="3">
        <v>2008</v>
      </c>
      <c r="H6" s="3">
        <v>98000</v>
      </c>
      <c r="I6" s="3">
        <v>105</v>
      </c>
      <c r="J6" s="3">
        <v>0.97</v>
      </c>
      <c r="K6" s="3">
        <v>0.1</v>
      </c>
    </row>
    <row r="7" spans="1:11" ht="28.5">
      <c r="A7" s="3" t="s">
        <v>31</v>
      </c>
      <c r="B7" s="3" t="s">
        <v>32</v>
      </c>
      <c r="C7" s="3" t="s">
        <v>33</v>
      </c>
      <c r="D7" s="3" t="s">
        <v>33</v>
      </c>
      <c r="E7" s="3" t="s">
        <v>15</v>
      </c>
      <c r="F7" s="3" t="s">
        <v>16</v>
      </c>
      <c r="G7" s="3">
        <v>1970</v>
      </c>
      <c r="H7" s="3">
        <v>185000</v>
      </c>
      <c r="I7" s="3">
        <v>210</v>
      </c>
      <c r="J7" s="3">
        <v>0.89</v>
      </c>
      <c r="K7" s="3">
        <v>0.55000000000000004</v>
      </c>
    </row>
    <row r="8" spans="1:11">
      <c r="A8" s="3" t="s">
        <v>34</v>
      </c>
      <c r="B8" s="3" t="s">
        <v>35</v>
      </c>
      <c r="C8" s="3" t="s">
        <v>36</v>
      </c>
      <c r="D8" s="3" t="s">
        <v>37</v>
      </c>
      <c r="E8" s="3" t="s">
        <v>15</v>
      </c>
      <c r="F8" s="3" t="s">
        <v>16</v>
      </c>
      <c r="G8" s="3">
        <v>2001</v>
      </c>
      <c r="H8" s="3">
        <v>135000</v>
      </c>
      <c r="I8" s="3">
        <v>150</v>
      </c>
      <c r="J8" s="3">
        <v>0.95</v>
      </c>
      <c r="K8" s="3">
        <v>0.2</v>
      </c>
    </row>
    <row r="9" spans="1:11" ht="28.5">
      <c r="A9" s="3" t="s">
        <v>38</v>
      </c>
      <c r="B9" s="3" t="s">
        <v>39</v>
      </c>
      <c r="C9" s="3" t="s">
        <v>40</v>
      </c>
      <c r="D9" s="3" t="s">
        <v>40</v>
      </c>
      <c r="E9" s="3" t="s">
        <v>15</v>
      </c>
      <c r="F9" s="3" t="s">
        <v>16</v>
      </c>
      <c r="G9" s="3">
        <v>1990</v>
      </c>
      <c r="H9" s="3">
        <v>110000</v>
      </c>
      <c r="I9" s="3">
        <v>120</v>
      </c>
      <c r="J9" s="3">
        <v>0.92</v>
      </c>
      <c r="K9" s="3">
        <v>0.35</v>
      </c>
    </row>
    <row r="10" spans="1:11" ht="28.5">
      <c r="A10" s="3" t="s">
        <v>41</v>
      </c>
      <c r="B10" s="3" t="s">
        <v>42</v>
      </c>
      <c r="C10" s="3" t="s">
        <v>13</v>
      </c>
      <c r="D10" s="3" t="s">
        <v>14</v>
      </c>
      <c r="E10" s="3" t="s">
        <v>15</v>
      </c>
      <c r="F10" s="3" t="s">
        <v>16</v>
      </c>
      <c r="G10" s="3">
        <v>2015</v>
      </c>
      <c r="H10" s="3">
        <v>175000</v>
      </c>
      <c r="I10" s="3">
        <v>190</v>
      </c>
      <c r="J10" s="3">
        <v>0.98</v>
      </c>
      <c r="K10" s="3">
        <v>0.05</v>
      </c>
    </row>
    <row r="11" spans="1:11" ht="28.5">
      <c r="A11" s="3" t="s">
        <v>43</v>
      </c>
      <c r="B11" s="3" t="s">
        <v>44</v>
      </c>
      <c r="C11" s="3" t="s">
        <v>45</v>
      </c>
      <c r="D11" s="3" t="s">
        <v>45</v>
      </c>
      <c r="E11" s="3" t="s">
        <v>15</v>
      </c>
      <c r="F11" s="3" t="s">
        <v>16</v>
      </c>
      <c r="G11" s="3">
        <v>1980</v>
      </c>
      <c r="H11" s="3">
        <v>160000</v>
      </c>
      <c r="I11" s="3">
        <v>175</v>
      </c>
      <c r="J11" s="3">
        <v>0.9</v>
      </c>
      <c r="K11" s="3">
        <v>0.5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21"/>
  <sheetViews>
    <sheetView workbookViewId="0">
      <selection activeCell="G1" sqref="G1:G1048576"/>
    </sheetView>
  </sheetViews>
  <sheetFormatPr defaultRowHeight="14.25"/>
  <cols>
    <col min="1" max="26" width="18" customWidth="1"/>
  </cols>
  <sheetData>
    <row r="1" spans="1:16" ht="30">
      <c r="A1" s="1" t="s">
        <v>0</v>
      </c>
      <c r="B1" s="1" t="s">
        <v>1</v>
      </c>
      <c r="C1" s="1" t="s">
        <v>2</v>
      </c>
      <c r="D1" s="1" t="s">
        <v>3</v>
      </c>
      <c r="E1" s="1" t="s">
        <v>4</v>
      </c>
      <c r="F1" s="1" t="s">
        <v>5</v>
      </c>
      <c r="G1" s="1" t="s">
        <v>46</v>
      </c>
      <c r="H1" s="5" t="s">
        <v>47</v>
      </c>
      <c r="I1" s="5" t="s">
        <v>48</v>
      </c>
      <c r="J1" s="5" t="s">
        <v>49</v>
      </c>
      <c r="K1" s="5" t="s">
        <v>50</v>
      </c>
      <c r="L1" s="5" t="s">
        <v>51</v>
      </c>
      <c r="M1" s="5" t="s">
        <v>52</v>
      </c>
      <c r="N1" s="1" t="s">
        <v>53</v>
      </c>
      <c r="O1" s="1" t="s">
        <v>54</v>
      </c>
      <c r="P1" s="1" t="s">
        <v>55</v>
      </c>
    </row>
    <row r="2" spans="1:16" ht="71.25">
      <c r="A2" s="3" t="s">
        <v>11</v>
      </c>
      <c r="B2" s="3" t="s">
        <v>12</v>
      </c>
      <c r="C2" s="3" t="s">
        <v>13</v>
      </c>
      <c r="D2" s="3" t="s">
        <v>14</v>
      </c>
      <c r="E2" s="3" t="s">
        <v>15</v>
      </c>
      <c r="F2" s="3" t="s">
        <v>16</v>
      </c>
      <c r="G2" s="3" t="s">
        <v>56</v>
      </c>
      <c r="H2" s="3">
        <v>90495</v>
      </c>
      <c r="I2" s="3">
        <v>10534</v>
      </c>
      <c r="J2" s="3">
        <v>13121.77</v>
      </c>
      <c r="K2" s="3">
        <v>11587.4</v>
      </c>
      <c r="L2" s="3">
        <v>0.14499999999999999</v>
      </c>
      <c r="M2" s="3">
        <v>1.1000000000000001</v>
      </c>
      <c r="N2" s="3" t="s">
        <v>57</v>
      </c>
      <c r="O2" s="3" t="s">
        <v>58</v>
      </c>
      <c r="P2" s="3" t="s">
        <v>59</v>
      </c>
    </row>
    <row r="3" spans="1:16" ht="71.25">
      <c r="A3" s="3" t="s">
        <v>11</v>
      </c>
      <c r="B3" s="3" t="s">
        <v>12</v>
      </c>
      <c r="C3" s="3" t="s">
        <v>13</v>
      </c>
      <c r="D3" s="3" t="s">
        <v>14</v>
      </c>
      <c r="E3" s="3" t="s">
        <v>15</v>
      </c>
      <c r="F3" s="3" t="s">
        <v>16</v>
      </c>
      <c r="G3" s="3" t="s">
        <v>60</v>
      </c>
      <c r="H3" s="3">
        <v>83708</v>
      </c>
      <c r="I3" s="3">
        <v>8826</v>
      </c>
      <c r="J3" s="3">
        <v>12137.66</v>
      </c>
      <c r="K3" s="3">
        <v>9708.6</v>
      </c>
      <c r="L3" s="3">
        <v>0.14499999999999999</v>
      </c>
      <c r="M3" s="3">
        <v>1.1000000000000001</v>
      </c>
      <c r="N3" s="3" t="s">
        <v>57</v>
      </c>
      <c r="O3" s="3" t="s">
        <v>58</v>
      </c>
      <c r="P3" s="3" t="s">
        <v>59</v>
      </c>
    </row>
    <row r="4" spans="1:16" ht="71.25">
      <c r="A4" s="3" t="s">
        <v>11</v>
      </c>
      <c r="B4" s="3" t="s">
        <v>12</v>
      </c>
      <c r="C4" s="3" t="s">
        <v>13</v>
      </c>
      <c r="D4" s="3" t="s">
        <v>14</v>
      </c>
      <c r="E4" s="3" t="s">
        <v>15</v>
      </c>
      <c r="F4" s="3" t="s">
        <v>16</v>
      </c>
      <c r="G4" s="3" t="s">
        <v>61</v>
      </c>
      <c r="H4" s="3">
        <v>84839</v>
      </c>
      <c r="I4" s="3">
        <v>7402</v>
      </c>
      <c r="J4" s="3">
        <v>12301.65</v>
      </c>
      <c r="K4" s="3">
        <v>8142.2</v>
      </c>
      <c r="L4" s="3">
        <v>0.14499999999999999</v>
      </c>
      <c r="M4" s="3">
        <v>1.1000000000000001</v>
      </c>
      <c r="N4" s="3" t="s">
        <v>57</v>
      </c>
      <c r="O4" s="3" t="s">
        <v>58</v>
      </c>
      <c r="P4" s="3" t="s">
        <v>59</v>
      </c>
    </row>
    <row r="5" spans="1:16" ht="71.25">
      <c r="A5" s="3" t="s">
        <v>11</v>
      </c>
      <c r="B5" s="3" t="s">
        <v>12</v>
      </c>
      <c r="C5" s="3" t="s">
        <v>13</v>
      </c>
      <c r="D5" s="3" t="s">
        <v>14</v>
      </c>
      <c r="E5" s="3" t="s">
        <v>15</v>
      </c>
      <c r="F5" s="3" t="s">
        <v>16</v>
      </c>
      <c r="G5" s="3" t="s">
        <v>62</v>
      </c>
      <c r="H5" s="3">
        <v>84839</v>
      </c>
      <c r="I5" s="3">
        <v>4555</v>
      </c>
      <c r="J5" s="3">
        <v>12301.65</v>
      </c>
      <c r="K5" s="3">
        <v>5010.5</v>
      </c>
      <c r="L5" s="3">
        <v>0.14499999999999999</v>
      </c>
      <c r="M5" s="3">
        <v>1.1000000000000001</v>
      </c>
      <c r="N5" s="3" t="s">
        <v>57</v>
      </c>
      <c r="O5" s="3" t="s">
        <v>58</v>
      </c>
      <c r="P5" s="3" t="s">
        <v>59</v>
      </c>
    </row>
    <row r="6" spans="1:16" ht="71.25">
      <c r="A6" s="3" t="s">
        <v>11</v>
      </c>
      <c r="B6" s="3" t="s">
        <v>12</v>
      </c>
      <c r="C6" s="3" t="s">
        <v>13</v>
      </c>
      <c r="D6" s="3" t="s">
        <v>14</v>
      </c>
      <c r="E6" s="3" t="s">
        <v>15</v>
      </c>
      <c r="F6" s="3" t="s">
        <v>16</v>
      </c>
      <c r="G6" s="3" t="s">
        <v>63</v>
      </c>
      <c r="H6" s="3">
        <v>92757</v>
      </c>
      <c r="I6" s="3">
        <v>2562</v>
      </c>
      <c r="J6" s="3">
        <v>13449.76</v>
      </c>
      <c r="K6" s="3">
        <v>2818.2</v>
      </c>
      <c r="L6" s="3">
        <v>0.14499999999999999</v>
      </c>
      <c r="M6" s="3">
        <v>1.1000000000000001</v>
      </c>
      <c r="N6" s="3" t="s">
        <v>57</v>
      </c>
      <c r="O6" s="3" t="s">
        <v>58</v>
      </c>
      <c r="P6" s="3" t="s">
        <v>59</v>
      </c>
    </row>
    <row r="7" spans="1:16" ht="71.25">
      <c r="A7" s="3" t="s">
        <v>11</v>
      </c>
      <c r="B7" s="3" t="s">
        <v>12</v>
      </c>
      <c r="C7" s="3" t="s">
        <v>13</v>
      </c>
      <c r="D7" s="3" t="s">
        <v>14</v>
      </c>
      <c r="E7" s="3" t="s">
        <v>15</v>
      </c>
      <c r="F7" s="3" t="s">
        <v>16</v>
      </c>
      <c r="G7" s="3" t="s">
        <v>64</v>
      </c>
      <c r="H7" s="3">
        <v>104069</v>
      </c>
      <c r="I7" s="3">
        <v>1139</v>
      </c>
      <c r="J7" s="3">
        <v>15090</v>
      </c>
      <c r="K7" s="3">
        <v>1252.9000000000001</v>
      </c>
      <c r="L7" s="3">
        <v>0.14499999999999999</v>
      </c>
      <c r="M7" s="3">
        <v>1.1000000000000001</v>
      </c>
      <c r="N7" s="3" t="s">
        <v>57</v>
      </c>
      <c r="O7" s="3" t="s">
        <v>58</v>
      </c>
      <c r="P7" s="3" t="s">
        <v>59</v>
      </c>
    </row>
    <row r="8" spans="1:16" ht="71.25">
      <c r="A8" s="3" t="s">
        <v>11</v>
      </c>
      <c r="B8" s="3" t="s">
        <v>12</v>
      </c>
      <c r="C8" s="3" t="s">
        <v>13</v>
      </c>
      <c r="D8" s="3" t="s">
        <v>14</v>
      </c>
      <c r="E8" s="3" t="s">
        <v>15</v>
      </c>
      <c r="F8" s="3" t="s">
        <v>16</v>
      </c>
      <c r="G8" s="3" t="s">
        <v>65</v>
      </c>
      <c r="H8" s="3">
        <v>118775</v>
      </c>
      <c r="I8" s="3">
        <v>683</v>
      </c>
      <c r="J8" s="3">
        <v>17222.38</v>
      </c>
      <c r="K8" s="3">
        <v>751.3</v>
      </c>
      <c r="L8" s="3">
        <v>0.14499999999999999</v>
      </c>
      <c r="M8" s="3">
        <v>1.1000000000000001</v>
      </c>
      <c r="N8" s="3" t="s">
        <v>57</v>
      </c>
      <c r="O8" s="3" t="s">
        <v>58</v>
      </c>
      <c r="P8" s="3" t="s">
        <v>59</v>
      </c>
    </row>
    <row r="9" spans="1:16" ht="71.25">
      <c r="A9" s="3" t="s">
        <v>11</v>
      </c>
      <c r="B9" s="3" t="s">
        <v>12</v>
      </c>
      <c r="C9" s="3" t="s">
        <v>13</v>
      </c>
      <c r="D9" s="3" t="s">
        <v>14</v>
      </c>
      <c r="E9" s="3" t="s">
        <v>15</v>
      </c>
      <c r="F9" s="3" t="s">
        <v>16</v>
      </c>
      <c r="G9" s="3" t="s">
        <v>66</v>
      </c>
      <c r="H9" s="3">
        <v>118775</v>
      </c>
      <c r="I9" s="3">
        <v>683</v>
      </c>
      <c r="J9" s="3">
        <v>17222.38</v>
      </c>
      <c r="K9" s="3">
        <v>751.3</v>
      </c>
      <c r="L9" s="3">
        <v>0.14499999999999999</v>
      </c>
      <c r="M9" s="3">
        <v>1.1000000000000001</v>
      </c>
      <c r="N9" s="3" t="s">
        <v>57</v>
      </c>
      <c r="O9" s="3" t="s">
        <v>58</v>
      </c>
      <c r="P9" s="3" t="s">
        <v>59</v>
      </c>
    </row>
    <row r="10" spans="1:16" ht="71.25">
      <c r="A10" s="3" t="s">
        <v>11</v>
      </c>
      <c r="B10" s="3" t="s">
        <v>12</v>
      </c>
      <c r="C10" s="3" t="s">
        <v>13</v>
      </c>
      <c r="D10" s="3" t="s">
        <v>14</v>
      </c>
      <c r="E10" s="3" t="s">
        <v>15</v>
      </c>
      <c r="F10" s="3" t="s">
        <v>16</v>
      </c>
      <c r="G10" s="3" t="s">
        <v>67</v>
      </c>
      <c r="H10" s="3">
        <v>98413</v>
      </c>
      <c r="I10" s="3">
        <v>1708</v>
      </c>
      <c r="J10" s="3">
        <v>14269.88</v>
      </c>
      <c r="K10" s="3">
        <v>1878.8</v>
      </c>
      <c r="L10" s="3">
        <v>0.14499999999999999</v>
      </c>
      <c r="M10" s="3">
        <v>1.1000000000000001</v>
      </c>
      <c r="N10" s="3" t="s">
        <v>57</v>
      </c>
      <c r="O10" s="3" t="s">
        <v>58</v>
      </c>
      <c r="P10" s="3" t="s">
        <v>59</v>
      </c>
    </row>
    <row r="11" spans="1:16" ht="71.25">
      <c r="A11" s="3" t="s">
        <v>11</v>
      </c>
      <c r="B11" s="3" t="s">
        <v>12</v>
      </c>
      <c r="C11" s="3" t="s">
        <v>13</v>
      </c>
      <c r="D11" s="3" t="s">
        <v>14</v>
      </c>
      <c r="E11" s="3" t="s">
        <v>15</v>
      </c>
      <c r="F11" s="3" t="s">
        <v>16</v>
      </c>
      <c r="G11" s="3" t="s">
        <v>68</v>
      </c>
      <c r="H11" s="3">
        <v>88233</v>
      </c>
      <c r="I11" s="3">
        <v>3986</v>
      </c>
      <c r="J11" s="3">
        <v>12793.78</v>
      </c>
      <c r="K11" s="3">
        <v>4384.6000000000004</v>
      </c>
      <c r="L11" s="3">
        <v>0.14499999999999999</v>
      </c>
      <c r="M11" s="3">
        <v>1.1000000000000001</v>
      </c>
      <c r="N11" s="3" t="s">
        <v>57</v>
      </c>
      <c r="O11" s="3" t="s">
        <v>58</v>
      </c>
      <c r="P11" s="3" t="s">
        <v>59</v>
      </c>
    </row>
    <row r="12" spans="1:16" ht="71.25">
      <c r="A12" s="3" t="s">
        <v>11</v>
      </c>
      <c r="B12" s="3" t="s">
        <v>12</v>
      </c>
      <c r="C12" s="3" t="s">
        <v>13</v>
      </c>
      <c r="D12" s="3" t="s">
        <v>14</v>
      </c>
      <c r="E12" s="3" t="s">
        <v>15</v>
      </c>
      <c r="F12" s="3" t="s">
        <v>16</v>
      </c>
      <c r="G12" s="3" t="s">
        <v>69</v>
      </c>
      <c r="H12" s="3">
        <v>82577</v>
      </c>
      <c r="I12" s="3">
        <v>6548</v>
      </c>
      <c r="J12" s="3">
        <v>11973.66</v>
      </c>
      <c r="K12" s="3">
        <v>7202.8</v>
      </c>
      <c r="L12" s="3">
        <v>0.14499999999999999</v>
      </c>
      <c r="M12" s="3">
        <v>1.1000000000000001</v>
      </c>
      <c r="N12" s="3" t="s">
        <v>57</v>
      </c>
      <c r="O12" s="3" t="s">
        <v>58</v>
      </c>
      <c r="P12" s="3" t="s">
        <v>59</v>
      </c>
    </row>
    <row r="13" spans="1:16" ht="71.25">
      <c r="A13" s="3" t="s">
        <v>11</v>
      </c>
      <c r="B13" s="3" t="s">
        <v>12</v>
      </c>
      <c r="C13" s="3" t="s">
        <v>13</v>
      </c>
      <c r="D13" s="3" t="s">
        <v>14</v>
      </c>
      <c r="E13" s="3" t="s">
        <v>15</v>
      </c>
      <c r="F13" s="3" t="s">
        <v>16</v>
      </c>
      <c r="G13" s="3" t="s">
        <v>70</v>
      </c>
      <c r="H13" s="3">
        <v>83708</v>
      </c>
      <c r="I13" s="3">
        <v>8313</v>
      </c>
      <c r="J13" s="3">
        <v>12137.66</v>
      </c>
      <c r="K13" s="3">
        <v>9144.2999999999993</v>
      </c>
      <c r="L13" s="3">
        <v>0.14499999999999999</v>
      </c>
      <c r="M13" s="3">
        <v>1.1000000000000001</v>
      </c>
      <c r="N13" s="3" t="s">
        <v>57</v>
      </c>
      <c r="O13" s="3" t="s">
        <v>58</v>
      </c>
      <c r="P13" s="3" t="s">
        <v>59</v>
      </c>
    </row>
    <row r="14" spans="1:16" ht="71.25">
      <c r="A14" s="3" t="s">
        <v>17</v>
      </c>
      <c r="B14" s="3" t="s">
        <v>18</v>
      </c>
      <c r="C14" s="3" t="s">
        <v>19</v>
      </c>
      <c r="D14" s="3" t="s">
        <v>19</v>
      </c>
      <c r="E14" s="3" t="s">
        <v>15</v>
      </c>
      <c r="F14" s="3" t="s">
        <v>16</v>
      </c>
      <c r="G14" s="3" t="s">
        <v>56</v>
      </c>
      <c r="H14" s="3">
        <v>129761</v>
      </c>
      <c r="I14" s="3">
        <v>16705</v>
      </c>
      <c r="J14" s="3">
        <v>18815.34</v>
      </c>
      <c r="K14" s="3">
        <v>18375.5</v>
      </c>
      <c r="L14" s="3">
        <v>0.14499999999999999</v>
      </c>
      <c r="M14" s="3">
        <v>1.1000000000000001</v>
      </c>
      <c r="N14" s="3" t="s">
        <v>57</v>
      </c>
      <c r="O14" s="3" t="s">
        <v>58</v>
      </c>
      <c r="P14" s="3" t="s">
        <v>59</v>
      </c>
    </row>
    <row r="15" spans="1:16" ht="71.25">
      <c r="A15" s="3" t="s">
        <v>17</v>
      </c>
      <c r="B15" s="3" t="s">
        <v>18</v>
      </c>
      <c r="C15" s="3" t="s">
        <v>19</v>
      </c>
      <c r="D15" s="3" t="s">
        <v>19</v>
      </c>
      <c r="E15" s="3" t="s">
        <v>15</v>
      </c>
      <c r="F15" s="3" t="s">
        <v>16</v>
      </c>
      <c r="G15" s="3" t="s">
        <v>60</v>
      </c>
      <c r="H15" s="3">
        <v>120029</v>
      </c>
      <c r="I15" s="3">
        <v>13996</v>
      </c>
      <c r="J15" s="3">
        <v>17404.2</v>
      </c>
      <c r="K15" s="3">
        <v>15395.6</v>
      </c>
      <c r="L15" s="3">
        <v>0.14499999999999999</v>
      </c>
      <c r="M15" s="3">
        <v>1.1000000000000001</v>
      </c>
      <c r="N15" s="3" t="s">
        <v>57</v>
      </c>
      <c r="O15" s="3" t="s">
        <v>58</v>
      </c>
      <c r="P15" s="3" t="s">
        <v>59</v>
      </c>
    </row>
    <row r="16" spans="1:16" ht="71.25">
      <c r="A16" s="3" t="s">
        <v>17</v>
      </c>
      <c r="B16" s="3" t="s">
        <v>18</v>
      </c>
      <c r="C16" s="3" t="s">
        <v>19</v>
      </c>
      <c r="D16" s="3" t="s">
        <v>19</v>
      </c>
      <c r="E16" s="3" t="s">
        <v>15</v>
      </c>
      <c r="F16" s="3" t="s">
        <v>16</v>
      </c>
      <c r="G16" s="3" t="s">
        <v>61</v>
      </c>
      <c r="H16" s="3">
        <v>121651</v>
      </c>
      <c r="I16" s="3">
        <v>11739</v>
      </c>
      <c r="J16" s="3">
        <v>17639.400000000001</v>
      </c>
      <c r="K16" s="3">
        <v>12912.9</v>
      </c>
      <c r="L16" s="3">
        <v>0.14499999999999999</v>
      </c>
      <c r="M16" s="3">
        <v>1.1000000000000001</v>
      </c>
      <c r="N16" s="3" t="s">
        <v>57</v>
      </c>
      <c r="O16" s="3" t="s">
        <v>58</v>
      </c>
      <c r="P16" s="3" t="s">
        <v>59</v>
      </c>
    </row>
    <row r="17" spans="1:16" ht="71.25">
      <c r="A17" s="3" t="s">
        <v>17</v>
      </c>
      <c r="B17" s="3" t="s">
        <v>18</v>
      </c>
      <c r="C17" s="3" t="s">
        <v>19</v>
      </c>
      <c r="D17" s="3" t="s">
        <v>19</v>
      </c>
      <c r="E17" s="3" t="s">
        <v>15</v>
      </c>
      <c r="F17" s="3" t="s">
        <v>16</v>
      </c>
      <c r="G17" s="3" t="s">
        <v>62</v>
      </c>
      <c r="H17" s="3">
        <v>121651</v>
      </c>
      <c r="I17" s="3">
        <v>7224</v>
      </c>
      <c r="J17" s="3">
        <v>17639.400000000001</v>
      </c>
      <c r="K17" s="3">
        <v>7946.4</v>
      </c>
      <c r="L17" s="3">
        <v>0.14499999999999999</v>
      </c>
      <c r="M17" s="3">
        <v>1.1000000000000001</v>
      </c>
      <c r="N17" s="3" t="s">
        <v>57</v>
      </c>
      <c r="O17" s="3" t="s">
        <v>58</v>
      </c>
      <c r="P17" s="3" t="s">
        <v>59</v>
      </c>
    </row>
    <row r="18" spans="1:16" ht="71.25">
      <c r="A18" s="3" t="s">
        <v>17</v>
      </c>
      <c r="B18" s="3" t="s">
        <v>18</v>
      </c>
      <c r="C18" s="3" t="s">
        <v>19</v>
      </c>
      <c r="D18" s="3" t="s">
        <v>19</v>
      </c>
      <c r="E18" s="3" t="s">
        <v>15</v>
      </c>
      <c r="F18" s="3" t="s">
        <v>16</v>
      </c>
      <c r="G18" s="3" t="s">
        <v>63</v>
      </c>
      <c r="H18" s="3">
        <v>133005</v>
      </c>
      <c r="I18" s="3">
        <v>4063</v>
      </c>
      <c r="J18" s="3">
        <v>19285.72</v>
      </c>
      <c r="K18" s="3">
        <v>4469.3</v>
      </c>
      <c r="L18" s="3">
        <v>0.14499999999999999</v>
      </c>
      <c r="M18" s="3">
        <v>1.1000000000000001</v>
      </c>
      <c r="N18" s="3" t="s">
        <v>57</v>
      </c>
      <c r="O18" s="3" t="s">
        <v>58</v>
      </c>
      <c r="P18" s="3" t="s">
        <v>59</v>
      </c>
    </row>
    <row r="19" spans="1:16" ht="71.25">
      <c r="A19" s="3" t="s">
        <v>17</v>
      </c>
      <c r="B19" s="3" t="s">
        <v>18</v>
      </c>
      <c r="C19" s="3" t="s">
        <v>19</v>
      </c>
      <c r="D19" s="3" t="s">
        <v>19</v>
      </c>
      <c r="E19" s="3" t="s">
        <v>15</v>
      </c>
      <c r="F19" s="3" t="s">
        <v>16</v>
      </c>
      <c r="G19" s="3" t="s">
        <v>64</v>
      </c>
      <c r="H19" s="3">
        <v>149226</v>
      </c>
      <c r="I19" s="3">
        <v>1806</v>
      </c>
      <c r="J19" s="3">
        <v>21637.77</v>
      </c>
      <c r="K19" s="3">
        <v>1986.6</v>
      </c>
      <c r="L19" s="3">
        <v>0.14499999999999999</v>
      </c>
      <c r="M19" s="3">
        <v>1.1000000000000001</v>
      </c>
      <c r="N19" s="3" t="s">
        <v>57</v>
      </c>
      <c r="O19" s="3" t="s">
        <v>58</v>
      </c>
      <c r="P19" s="3" t="s">
        <v>59</v>
      </c>
    </row>
    <row r="20" spans="1:16" ht="71.25">
      <c r="A20" s="3" t="s">
        <v>17</v>
      </c>
      <c r="B20" s="3" t="s">
        <v>18</v>
      </c>
      <c r="C20" s="3" t="s">
        <v>19</v>
      </c>
      <c r="D20" s="3" t="s">
        <v>19</v>
      </c>
      <c r="E20" s="3" t="s">
        <v>15</v>
      </c>
      <c r="F20" s="3" t="s">
        <v>16</v>
      </c>
      <c r="G20" s="3" t="s">
        <v>65</v>
      </c>
      <c r="H20" s="3">
        <v>170312</v>
      </c>
      <c r="I20" s="3">
        <v>1084</v>
      </c>
      <c r="J20" s="3">
        <v>24695.24</v>
      </c>
      <c r="K20" s="3">
        <v>1192.4000000000001</v>
      </c>
      <c r="L20" s="3">
        <v>0.14499999999999999</v>
      </c>
      <c r="M20" s="3">
        <v>1.1000000000000001</v>
      </c>
      <c r="N20" s="3" t="s">
        <v>57</v>
      </c>
      <c r="O20" s="3" t="s">
        <v>58</v>
      </c>
      <c r="P20" s="3" t="s">
        <v>59</v>
      </c>
    </row>
    <row r="21" spans="1:16" ht="71.25">
      <c r="A21" s="3" t="s">
        <v>17</v>
      </c>
      <c r="B21" s="3" t="s">
        <v>18</v>
      </c>
      <c r="C21" s="3" t="s">
        <v>19</v>
      </c>
      <c r="D21" s="3" t="s">
        <v>19</v>
      </c>
      <c r="E21" s="3" t="s">
        <v>15</v>
      </c>
      <c r="F21" s="3" t="s">
        <v>16</v>
      </c>
      <c r="G21" s="3" t="s">
        <v>66</v>
      </c>
      <c r="H21" s="3">
        <v>170312</v>
      </c>
      <c r="I21" s="3">
        <v>1084</v>
      </c>
      <c r="J21" s="3">
        <v>24695.24</v>
      </c>
      <c r="K21" s="3">
        <v>1192.4000000000001</v>
      </c>
      <c r="L21" s="3">
        <v>0.14499999999999999</v>
      </c>
      <c r="M21" s="3">
        <v>1.1000000000000001</v>
      </c>
      <c r="N21" s="3" t="s">
        <v>57</v>
      </c>
      <c r="O21" s="3" t="s">
        <v>58</v>
      </c>
      <c r="P21" s="3" t="s">
        <v>59</v>
      </c>
    </row>
    <row r="22" spans="1:16" ht="71.25">
      <c r="A22" s="3" t="s">
        <v>17</v>
      </c>
      <c r="B22" s="3" t="s">
        <v>18</v>
      </c>
      <c r="C22" s="3" t="s">
        <v>19</v>
      </c>
      <c r="D22" s="3" t="s">
        <v>19</v>
      </c>
      <c r="E22" s="3" t="s">
        <v>15</v>
      </c>
      <c r="F22" s="3" t="s">
        <v>16</v>
      </c>
      <c r="G22" s="3" t="s">
        <v>67</v>
      </c>
      <c r="H22" s="3">
        <v>141115</v>
      </c>
      <c r="I22" s="3">
        <v>2709</v>
      </c>
      <c r="J22" s="3">
        <v>20461.669999999998</v>
      </c>
      <c r="K22" s="3">
        <v>2979.9</v>
      </c>
      <c r="L22" s="3">
        <v>0.14499999999999999</v>
      </c>
      <c r="M22" s="3">
        <v>1.1000000000000001</v>
      </c>
      <c r="N22" s="3" t="s">
        <v>57</v>
      </c>
      <c r="O22" s="3" t="s">
        <v>58</v>
      </c>
      <c r="P22" s="3" t="s">
        <v>59</v>
      </c>
    </row>
    <row r="23" spans="1:16" ht="71.25">
      <c r="A23" s="3" t="s">
        <v>17</v>
      </c>
      <c r="B23" s="3" t="s">
        <v>18</v>
      </c>
      <c r="C23" s="3" t="s">
        <v>19</v>
      </c>
      <c r="D23" s="3" t="s">
        <v>19</v>
      </c>
      <c r="E23" s="3" t="s">
        <v>15</v>
      </c>
      <c r="F23" s="3" t="s">
        <v>16</v>
      </c>
      <c r="G23" s="3" t="s">
        <v>68</v>
      </c>
      <c r="H23" s="3">
        <v>126517</v>
      </c>
      <c r="I23" s="3">
        <v>6321</v>
      </c>
      <c r="J23" s="3">
        <v>18344.97</v>
      </c>
      <c r="K23" s="3">
        <v>6953.1</v>
      </c>
      <c r="L23" s="3">
        <v>0.14499999999999999</v>
      </c>
      <c r="M23" s="3">
        <v>1.1000000000000001</v>
      </c>
      <c r="N23" s="3" t="s">
        <v>57</v>
      </c>
      <c r="O23" s="3" t="s">
        <v>58</v>
      </c>
      <c r="P23" s="3" t="s">
        <v>59</v>
      </c>
    </row>
    <row r="24" spans="1:16" ht="71.25">
      <c r="A24" s="3" t="s">
        <v>17</v>
      </c>
      <c r="B24" s="3" t="s">
        <v>18</v>
      </c>
      <c r="C24" s="3" t="s">
        <v>19</v>
      </c>
      <c r="D24" s="3" t="s">
        <v>19</v>
      </c>
      <c r="E24" s="3" t="s">
        <v>15</v>
      </c>
      <c r="F24" s="3" t="s">
        <v>16</v>
      </c>
      <c r="G24" s="3" t="s">
        <v>69</v>
      </c>
      <c r="H24" s="3">
        <v>118407</v>
      </c>
      <c r="I24" s="3">
        <v>10384</v>
      </c>
      <c r="J24" s="3">
        <v>17169.009999999998</v>
      </c>
      <c r="K24" s="3">
        <v>11422.4</v>
      </c>
      <c r="L24" s="3">
        <v>0.14499999999999999</v>
      </c>
      <c r="M24" s="3">
        <v>1.1000000000000001</v>
      </c>
      <c r="N24" s="3" t="s">
        <v>57</v>
      </c>
      <c r="O24" s="3" t="s">
        <v>58</v>
      </c>
      <c r="P24" s="3" t="s">
        <v>59</v>
      </c>
    </row>
    <row r="25" spans="1:16" ht="71.25">
      <c r="A25" s="3" t="s">
        <v>17</v>
      </c>
      <c r="B25" s="3" t="s">
        <v>18</v>
      </c>
      <c r="C25" s="3" t="s">
        <v>19</v>
      </c>
      <c r="D25" s="3" t="s">
        <v>19</v>
      </c>
      <c r="E25" s="3" t="s">
        <v>15</v>
      </c>
      <c r="F25" s="3" t="s">
        <v>16</v>
      </c>
      <c r="G25" s="3" t="s">
        <v>70</v>
      </c>
      <c r="H25" s="3">
        <v>120029</v>
      </c>
      <c r="I25" s="3">
        <v>13183</v>
      </c>
      <c r="J25" s="3">
        <v>17404.2</v>
      </c>
      <c r="K25" s="3">
        <v>14501.3</v>
      </c>
      <c r="L25" s="3">
        <v>0.14499999999999999</v>
      </c>
      <c r="M25" s="3">
        <v>1.1000000000000001</v>
      </c>
      <c r="N25" s="3" t="s">
        <v>57</v>
      </c>
      <c r="O25" s="3" t="s">
        <v>58</v>
      </c>
      <c r="P25" s="3" t="s">
        <v>59</v>
      </c>
    </row>
    <row r="26" spans="1:16" ht="71.25">
      <c r="A26" s="3" t="s">
        <v>20</v>
      </c>
      <c r="B26" s="3" t="s">
        <v>21</v>
      </c>
      <c r="C26" s="3" t="s">
        <v>22</v>
      </c>
      <c r="D26" s="3" t="s">
        <v>23</v>
      </c>
      <c r="E26" s="3" t="s">
        <v>15</v>
      </c>
      <c r="F26" s="3" t="s">
        <v>16</v>
      </c>
      <c r="G26" s="3" t="s">
        <v>56</v>
      </c>
      <c r="H26" s="3">
        <v>78458</v>
      </c>
      <c r="I26" s="3">
        <v>8375</v>
      </c>
      <c r="J26" s="3">
        <v>11376.41</v>
      </c>
      <c r="K26" s="3">
        <v>9212.5</v>
      </c>
      <c r="L26" s="3">
        <v>0.14499999999999999</v>
      </c>
      <c r="M26" s="3">
        <v>1.1000000000000001</v>
      </c>
      <c r="N26" s="3" t="s">
        <v>57</v>
      </c>
      <c r="O26" s="3" t="s">
        <v>58</v>
      </c>
      <c r="P26" s="3" t="s">
        <v>59</v>
      </c>
    </row>
    <row r="27" spans="1:16" ht="71.25">
      <c r="A27" s="3" t="s">
        <v>20</v>
      </c>
      <c r="B27" s="3" t="s">
        <v>21</v>
      </c>
      <c r="C27" s="3" t="s">
        <v>22</v>
      </c>
      <c r="D27" s="3" t="s">
        <v>23</v>
      </c>
      <c r="E27" s="3" t="s">
        <v>15</v>
      </c>
      <c r="F27" s="3" t="s">
        <v>16</v>
      </c>
      <c r="G27" s="3" t="s">
        <v>60</v>
      </c>
      <c r="H27" s="3">
        <v>72574</v>
      </c>
      <c r="I27" s="3">
        <v>7017</v>
      </c>
      <c r="J27" s="3">
        <v>10523.23</v>
      </c>
      <c r="K27" s="3">
        <v>7718.7</v>
      </c>
      <c r="L27" s="3">
        <v>0.14499999999999999</v>
      </c>
      <c r="M27" s="3">
        <v>1.1000000000000001</v>
      </c>
      <c r="N27" s="3" t="s">
        <v>57</v>
      </c>
      <c r="O27" s="3" t="s">
        <v>58</v>
      </c>
      <c r="P27" s="3" t="s">
        <v>59</v>
      </c>
    </row>
    <row r="28" spans="1:16" ht="71.25">
      <c r="A28" s="3" t="s">
        <v>20</v>
      </c>
      <c r="B28" s="3" t="s">
        <v>21</v>
      </c>
      <c r="C28" s="3" t="s">
        <v>22</v>
      </c>
      <c r="D28" s="3" t="s">
        <v>23</v>
      </c>
      <c r="E28" s="3" t="s">
        <v>15</v>
      </c>
      <c r="F28" s="3" t="s">
        <v>16</v>
      </c>
      <c r="G28" s="3" t="s">
        <v>61</v>
      </c>
      <c r="H28" s="3">
        <v>73554</v>
      </c>
      <c r="I28" s="3">
        <v>5885</v>
      </c>
      <c r="J28" s="3">
        <v>10665.33</v>
      </c>
      <c r="K28" s="3">
        <v>6473.5</v>
      </c>
      <c r="L28" s="3">
        <v>0.14499999999999999</v>
      </c>
      <c r="M28" s="3">
        <v>1.1000000000000001</v>
      </c>
      <c r="N28" s="3" t="s">
        <v>57</v>
      </c>
      <c r="O28" s="3" t="s">
        <v>58</v>
      </c>
      <c r="P28" s="3" t="s">
        <v>59</v>
      </c>
    </row>
    <row r="29" spans="1:16" ht="71.25">
      <c r="A29" s="3" t="s">
        <v>20</v>
      </c>
      <c r="B29" s="3" t="s">
        <v>21</v>
      </c>
      <c r="C29" s="3" t="s">
        <v>22</v>
      </c>
      <c r="D29" s="3" t="s">
        <v>23</v>
      </c>
      <c r="E29" s="3" t="s">
        <v>15</v>
      </c>
      <c r="F29" s="3" t="s">
        <v>16</v>
      </c>
      <c r="G29" s="3" t="s">
        <v>62</v>
      </c>
      <c r="H29" s="3">
        <v>73554</v>
      </c>
      <c r="I29" s="3">
        <v>3622</v>
      </c>
      <c r="J29" s="3">
        <v>10665.33</v>
      </c>
      <c r="K29" s="3">
        <v>3984.2</v>
      </c>
      <c r="L29" s="3">
        <v>0.14499999999999999</v>
      </c>
      <c r="M29" s="3">
        <v>1.1000000000000001</v>
      </c>
      <c r="N29" s="3" t="s">
        <v>57</v>
      </c>
      <c r="O29" s="3" t="s">
        <v>58</v>
      </c>
      <c r="P29" s="3" t="s">
        <v>59</v>
      </c>
    </row>
    <row r="30" spans="1:16" ht="71.25">
      <c r="A30" s="3" t="s">
        <v>20</v>
      </c>
      <c r="B30" s="3" t="s">
        <v>21</v>
      </c>
      <c r="C30" s="3" t="s">
        <v>22</v>
      </c>
      <c r="D30" s="3" t="s">
        <v>23</v>
      </c>
      <c r="E30" s="3" t="s">
        <v>15</v>
      </c>
      <c r="F30" s="3" t="s">
        <v>16</v>
      </c>
      <c r="G30" s="3" t="s">
        <v>63</v>
      </c>
      <c r="H30" s="3">
        <v>80420</v>
      </c>
      <c r="I30" s="3">
        <v>2037</v>
      </c>
      <c r="J30" s="3">
        <v>11660.9</v>
      </c>
      <c r="K30" s="3">
        <v>2240.6999999999998</v>
      </c>
      <c r="L30" s="3">
        <v>0.14499999999999999</v>
      </c>
      <c r="M30" s="3">
        <v>1.1000000000000001</v>
      </c>
      <c r="N30" s="3" t="s">
        <v>57</v>
      </c>
      <c r="O30" s="3" t="s">
        <v>58</v>
      </c>
      <c r="P30" s="3" t="s">
        <v>59</v>
      </c>
    </row>
    <row r="31" spans="1:16" ht="71.25">
      <c r="A31" s="3" t="s">
        <v>20</v>
      </c>
      <c r="B31" s="3" t="s">
        <v>21</v>
      </c>
      <c r="C31" s="3" t="s">
        <v>22</v>
      </c>
      <c r="D31" s="3" t="s">
        <v>23</v>
      </c>
      <c r="E31" s="3" t="s">
        <v>15</v>
      </c>
      <c r="F31" s="3" t="s">
        <v>16</v>
      </c>
      <c r="G31" s="3" t="s">
        <v>64</v>
      </c>
      <c r="H31" s="3">
        <v>90227</v>
      </c>
      <c r="I31" s="3">
        <v>905</v>
      </c>
      <c r="J31" s="3">
        <v>13082.91</v>
      </c>
      <c r="K31" s="3">
        <v>995.5</v>
      </c>
      <c r="L31" s="3">
        <v>0.14499999999999999</v>
      </c>
      <c r="M31" s="3">
        <v>1.1000000000000001</v>
      </c>
      <c r="N31" s="3" t="s">
        <v>57</v>
      </c>
      <c r="O31" s="3" t="s">
        <v>58</v>
      </c>
      <c r="P31" s="3" t="s">
        <v>59</v>
      </c>
    </row>
    <row r="32" spans="1:16" ht="71.25">
      <c r="A32" s="3" t="s">
        <v>20</v>
      </c>
      <c r="B32" s="3" t="s">
        <v>21</v>
      </c>
      <c r="C32" s="3" t="s">
        <v>22</v>
      </c>
      <c r="D32" s="3" t="s">
        <v>23</v>
      </c>
      <c r="E32" s="3" t="s">
        <v>15</v>
      </c>
      <c r="F32" s="3" t="s">
        <v>16</v>
      </c>
      <c r="G32" s="3" t="s">
        <v>65</v>
      </c>
      <c r="H32" s="3">
        <v>102976</v>
      </c>
      <c r="I32" s="3">
        <v>543</v>
      </c>
      <c r="J32" s="3">
        <v>14931.52</v>
      </c>
      <c r="K32" s="3">
        <v>597.29999999999995</v>
      </c>
      <c r="L32" s="3">
        <v>0.14499999999999999</v>
      </c>
      <c r="M32" s="3">
        <v>1.1000000000000001</v>
      </c>
      <c r="N32" s="3" t="s">
        <v>57</v>
      </c>
      <c r="O32" s="3" t="s">
        <v>58</v>
      </c>
      <c r="P32" s="3" t="s">
        <v>59</v>
      </c>
    </row>
    <row r="33" spans="1:16" ht="71.25">
      <c r="A33" s="3" t="s">
        <v>20</v>
      </c>
      <c r="B33" s="3" t="s">
        <v>21</v>
      </c>
      <c r="C33" s="3" t="s">
        <v>22</v>
      </c>
      <c r="D33" s="3" t="s">
        <v>23</v>
      </c>
      <c r="E33" s="3" t="s">
        <v>15</v>
      </c>
      <c r="F33" s="3" t="s">
        <v>16</v>
      </c>
      <c r="G33" s="3" t="s">
        <v>66</v>
      </c>
      <c r="H33" s="3">
        <v>102976</v>
      </c>
      <c r="I33" s="3">
        <v>543</v>
      </c>
      <c r="J33" s="3">
        <v>14931.52</v>
      </c>
      <c r="K33" s="3">
        <v>597.29999999999995</v>
      </c>
      <c r="L33" s="3">
        <v>0.14499999999999999</v>
      </c>
      <c r="M33" s="3">
        <v>1.1000000000000001</v>
      </c>
      <c r="N33" s="3" t="s">
        <v>57</v>
      </c>
      <c r="O33" s="3" t="s">
        <v>58</v>
      </c>
      <c r="P33" s="3" t="s">
        <v>59</v>
      </c>
    </row>
    <row r="34" spans="1:16" ht="71.25">
      <c r="A34" s="3" t="s">
        <v>20</v>
      </c>
      <c r="B34" s="3" t="s">
        <v>21</v>
      </c>
      <c r="C34" s="3" t="s">
        <v>22</v>
      </c>
      <c r="D34" s="3" t="s">
        <v>23</v>
      </c>
      <c r="E34" s="3" t="s">
        <v>15</v>
      </c>
      <c r="F34" s="3" t="s">
        <v>16</v>
      </c>
      <c r="G34" s="3" t="s">
        <v>67</v>
      </c>
      <c r="H34" s="3">
        <v>85323</v>
      </c>
      <c r="I34" s="3">
        <v>1358</v>
      </c>
      <c r="J34" s="3">
        <v>12371.83</v>
      </c>
      <c r="K34" s="3">
        <v>1493.8</v>
      </c>
      <c r="L34" s="3">
        <v>0.14499999999999999</v>
      </c>
      <c r="M34" s="3">
        <v>1.1000000000000001</v>
      </c>
      <c r="N34" s="3" t="s">
        <v>57</v>
      </c>
      <c r="O34" s="3" t="s">
        <v>58</v>
      </c>
      <c r="P34" s="3" t="s">
        <v>59</v>
      </c>
    </row>
    <row r="35" spans="1:16" ht="71.25">
      <c r="A35" s="3" t="s">
        <v>20</v>
      </c>
      <c r="B35" s="3" t="s">
        <v>21</v>
      </c>
      <c r="C35" s="3" t="s">
        <v>22</v>
      </c>
      <c r="D35" s="3" t="s">
        <v>23</v>
      </c>
      <c r="E35" s="3" t="s">
        <v>15</v>
      </c>
      <c r="F35" s="3" t="s">
        <v>16</v>
      </c>
      <c r="G35" s="3" t="s">
        <v>68</v>
      </c>
      <c r="H35" s="3">
        <v>76497</v>
      </c>
      <c r="I35" s="3">
        <v>3169</v>
      </c>
      <c r="J35" s="3">
        <v>11092.06</v>
      </c>
      <c r="K35" s="3">
        <v>3485.9</v>
      </c>
      <c r="L35" s="3">
        <v>0.14499999999999999</v>
      </c>
      <c r="M35" s="3">
        <v>1.1000000000000001</v>
      </c>
      <c r="N35" s="3" t="s">
        <v>57</v>
      </c>
      <c r="O35" s="3" t="s">
        <v>58</v>
      </c>
      <c r="P35" s="3" t="s">
        <v>59</v>
      </c>
    </row>
    <row r="36" spans="1:16" ht="71.25">
      <c r="A36" s="3" t="s">
        <v>20</v>
      </c>
      <c r="B36" s="3" t="s">
        <v>21</v>
      </c>
      <c r="C36" s="3" t="s">
        <v>22</v>
      </c>
      <c r="D36" s="3" t="s">
        <v>23</v>
      </c>
      <c r="E36" s="3" t="s">
        <v>15</v>
      </c>
      <c r="F36" s="3" t="s">
        <v>16</v>
      </c>
      <c r="G36" s="3" t="s">
        <v>69</v>
      </c>
      <c r="H36" s="3">
        <v>71593</v>
      </c>
      <c r="I36" s="3">
        <v>5206</v>
      </c>
      <c r="J36" s="3">
        <v>10380.98</v>
      </c>
      <c r="K36" s="3">
        <v>5726.6</v>
      </c>
      <c r="L36" s="3">
        <v>0.14499999999999999</v>
      </c>
      <c r="M36" s="3">
        <v>1.1000000000000001</v>
      </c>
      <c r="N36" s="3" t="s">
        <v>57</v>
      </c>
      <c r="O36" s="3" t="s">
        <v>58</v>
      </c>
      <c r="P36" s="3" t="s">
        <v>59</v>
      </c>
    </row>
    <row r="37" spans="1:16" ht="71.25">
      <c r="A37" s="3" t="s">
        <v>20</v>
      </c>
      <c r="B37" s="3" t="s">
        <v>21</v>
      </c>
      <c r="C37" s="3" t="s">
        <v>22</v>
      </c>
      <c r="D37" s="3" t="s">
        <v>23</v>
      </c>
      <c r="E37" s="3" t="s">
        <v>15</v>
      </c>
      <c r="F37" s="3" t="s">
        <v>16</v>
      </c>
      <c r="G37" s="3" t="s">
        <v>70</v>
      </c>
      <c r="H37" s="3">
        <v>72574</v>
      </c>
      <c r="I37" s="3">
        <v>6610</v>
      </c>
      <c r="J37" s="3">
        <v>10523.23</v>
      </c>
      <c r="K37" s="3">
        <v>7271</v>
      </c>
      <c r="L37" s="3">
        <v>0.14499999999999999</v>
      </c>
      <c r="M37" s="3">
        <v>1.1000000000000001</v>
      </c>
      <c r="N37" s="3" t="s">
        <v>57</v>
      </c>
      <c r="O37" s="3" t="s">
        <v>58</v>
      </c>
      <c r="P37" s="3" t="s">
        <v>59</v>
      </c>
    </row>
    <row r="38" spans="1:16" ht="71.25">
      <c r="A38" s="3" t="s">
        <v>24</v>
      </c>
      <c r="B38" s="3" t="s">
        <v>25</v>
      </c>
      <c r="C38" s="3" t="s">
        <v>26</v>
      </c>
      <c r="D38" s="3" t="s">
        <v>27</v>
      </c>
      <c r="E38" s="3" t="s">
        <v>15</v>
      </c>
      <c r="F38" s="3" t="s">
        <v>16</v>
      </c>
      <c r="G38" s="3" t="s">
        <v>56</v>
      </c>
      <c r="H38" s="3">
        <v>67009</v>
      </c>
      <c r="I38" s="3">
        <v>8410</v>
      </c>
      <c r="J38" s="3">
        <v>9716.2999999999993</v>
      </c>
      <c r="K38" s="3">
        <v>9251</v>
      </c>
      <c r="L38" s="3">
        <v>0.14499999999999999</v>
      </c>
      <c r="M38" s="3">
        <v>1.1000000000000001</v>
      </c>
      <c r="N38" s="3" t="s">
        <v>57</v>
      </c>
      <c r="O38" s="3" t="s">
        <v>58</v>
      </c>
      <c r="P38" s="3" t="s">
        <v>59</v>
      </c>
    </row>
    <row r="39" spans="1:16" ht="71.25">
      <c r="A39" s="3" t="s">
        <v>24</v>
      </c>
      <c r="B39" s="3" t="s">
        <v>25</v>
      </c>
      <c r="C39" s="3" t="s">
        <v>26</v>
      </c>
      <c r="D39" s="3" t="s">
        <v>27</v>
      </c>
      <c r="E39" s="3" t="s">
        <v>15</v>
      </c>
      <c r="F39" s="3" t="s">
        <v>16</v>
      </c>
      <c r="G39" s="3" t="s">
        <v>60</v>
      </c>
      <c r="H39" s="3">
        <v>61984</v>
      </c>
      <c r="I39" s="3">
        <v>7046</v>
      </c>
      <c r="J39" s="3">
        <v>8987.68</v>
      </c>
      <c r="K39" s="3">
        <v>7750.6</v>
      </c>
      <c r="L39" s="3">
        <v>0.14499999999999999</v>
      </c>
      <c r="M39" s="3">
        <v>1.1000000000000001</v>
      </c>
      <c r="N39" s="3" t="s">
        <v>57</v>
      </c>
      <c r="O39" s="3" t="s">
        <v>58</v>
      </c>
      <c r="P39" s="3" t="s">
        <v>59</v>
      </c>
    </row>
    <row r="40" spans="1:16" ht="71.25">
      <c r="A40" s="3" t="s">
        <v>24</v>
      </c>
      <c r="B40" s="3" t="s">
        <v>25</v>
      </c>
      <c r="C40" s="3" t="s">
        <v>26</v>
      </c>
      <c r="D40" s="3" t="s">
        <v>27</v>
      </c>
      <c r="E40" s="3" t="s">
        <v>15</v>
      </c>
      <c r="F40" s="3" t="s">
        <v>16</v>
      </c>
      <c r="G40" s="3" t="s">
        <v>61</v>
      </c>
      <c r="H40" s="3">
        <v>62821</v>
      </c>
      <c r="I40" s="3">
        <v>5910</v>
      </c>
      <c r="J40" s="3">
        <v>9109.0499999999993</v>
      </c>
      <c r="K40" s="3">
        <v>6501</v>
      </c>
      <c r="L40" s="3">
        <v>0.14499999999999999</v>
      </c>
      <c r="M40" s="3">
        <v>1.1000000000000001</v>
      </c>
      <c r="N40" s="3" t="s">
        <v>57</v>
      </c>
      <c r="O40" s="3" t="s">
        <v>58</v>
      </c>
      <c r="P40" s="3" t="s">
        <v>59</v>
      </c>
    </row>
    <row r="41" spans="1:16" ht="71.25">
      <c r="A41" s="3" t="s">
        <v>24</v>
      </c>
      <c r="B41" s="3" t="s">
        <v>25</v>
      </c>
      <c r="C41" s="3" t="s">
        <v>26</v>
      </c>
      <c r="D41" s="3" t="s">
        <v>27</v>
      </c>
      <c r="E41" s="3" t="s">
        <v>15</v>
      </c>
      <c r="F41" s="3" t="s">
        <v>16</v>
      </c>
      <c r="G41" s="3" t="s">
        <v>62</v>
      </c>
      <c r="H41" s="3">
        <v>62821</v>
      </c>
      <c r="I41" s="3">
        <v>3637</v>
      </c>
      <c r="J41" s="3">
        <v>9109.0499999999993</v>
      </c>
      <c r="K41" s="3">
        <v>4000.7</v>
      </c>
      <c r="L41" s="3">
        <v>0.14499999999999999</v>
      </c>
      <c r="M41" s="3">
        <v>1.1000000000000001</v>
      </c>
      <c r="N41" s="3" t="s">
        <v>57</v>
      </c>
      <c r="O41" s="3" t="s">
        <v>58</v>
      </c>
      <c r="P41" s="3" t="s">
        <v>59</v>
      </c>
    </row>
    <row r="42" spans="1:16" ht="71.25">
      <c r="A42" s="3" t="s">
        <v>24</v>
      </c>
      <c r="B42" s="3" t="s">
        <v>25</v>
      </c>
      <c r="C42" s="3" t="s">
        <v>26</v>
      </c>
      <c r="D42" s="3" t="s">
        <v>27</v>
      </c>
      <c r="E42" s="3" t="s">
        <v>15</v>
      </c>
      <c r="F42" s="3" t="s">
        <v>16</v>
      </c>
      <c r="G42" s="3" t="s">
        <v>63</v>
      </c>
      <c r="H42" s="3">
        <v>68684</v>
      </c>
      <c r="I42" s="3">
        <v>2046</v>
      </c>
      <c r="J42" s="3">
        <v>9959.18</v>
      </c>
      <c r="K42" s="3">
        <v>2250.6</v>
      </c>
      <c r="L42" s="3">
        <v>0.14499999999999999</v>
      </c>
      <c r="M42" s="3">
        <v>1.1000000000000001</v>
      </c>
      <c r="N42" s="3" t="s">
        <v>57</v>
      </c>
      <c r="O42" s="3" t="s">
        <v>58</v>
      </c>
      <c r="P42" s="3" t="s">
        <v>59</v>
      </c>
    </row>
    <row r="43" spans="1:16" ht="71.25">
      <c r="A43" s="3" t="s">
        <v>24</v>
      </c>
      <c r="B43" s="3" t="s">
        <v>25</v>
      </c>
      <c r="C43" s="3" t="s">
        <v>26</v>
      </c>
      <c r="D43" s="3" t="s">
        <v>27</v>
      </c>
      <c r="E43" s="3" t="s">
        <v>15</v>
      </c>
      <c r="F43" s="3" t="s">
        <v>16</v>
      </c>
      <c r="G43" s="3" t="s">
        <v>64</v>
      </c>
      <c r="H43" s="3">
        <v>77061</v>
      </c>
      <c r="I43" s="3">
        <v>909</v>
      </c>
      <c r="J43" s="3">
        <v>11173.84</v>
      </c>
      <c r="K43" s="3">
        <v>999.9</v>
      </c>
      <c r="L43" s="3">
        <v>0.14499999999999999</v>
      </c>
      <c r="M43" s="3">
        <v>1.1000000000000001</v>
      </c>
      <c r="N43" s="3" t="s">
        <v>57</v>
      </c>
      <c r="O43" s="3" t="s">
        <v>58</v>
      </c>
      <c r="P43" s="3" t="s">
        <v>59</v>
      </c>
    </row>
    <row r="44" spans="1:16" ht="71.25">
      <c r="A44" s="3" t="s">
        <v>24</v>
      </c>
      <c r="B44" s="3" t="s">
        <v>25</v>
      </c>
      <c r="C44" s="3" t="s">
        <v>26</v>
      </c>
      <c r="D44" s="3" t="s">
        <v>27</v>
      </c>
      <c r="E44" s="3" t="s">
        <v>15</v>
      </c>
      <c r="F44" s="3" t="s">
        <v>16</v>
      </c>
      <c r="G44" s="3" t="s">
        <v>65</v>
      </c>
      <c r="H44" s="3">
        <v>87950</v>
      </c>
      <c r="I44" s="3">
        <v>546</v>
      </c>
      <c r="J44" s="3">
        <v>12752.75</v>
      </c>
      <c r="K44" s="3">
        <v>600.6</v>
      </c>
      <c r="L44" s="3">
        <v>0.14499999999999999</v>
      </c>
      <c r="M44" s="3">
        <v>1.1000000000000001</v>
      </c>
      <c r="N44" s="3" t="s">
        <v>57</v>
      </c>
      <c r="O44" s="3" t="s">
        <v>58</v>
      </c>
      <c r="P44" s="3" t="s">
        <v>59</v>
      </c>
    </row>
    <row r="45" spans="1:16" ht="71.25">
      <c r="A45" s="3" t="s">
        <v>24</v>
      </c>
      <c r="B45" s="3" t="s">
        <v>25</v>
      </c>
      <c r="C45" s="3" t="s">
        <v>26</v>
      </c>
      <c r="D45" s="3" t="s">
        <v>27</v>
      </c>
      <c r="E45" s="3" t="s">
        <v>15</v>
      </c>
      <c r="F45" s="3" t="s">
        <v>16</v>
      </c>
      <c r="G45" s="3" t="s">
        <v>66</v>
      </c>
      <c r="H45" s="3">
        <v>87950</v>
      </c>
      <c r="I45" s="3">
        <v>546</v>
      </c>
      <c r="J45" s="3">
        <v>12752.75</v>
      </c>
      <c r="K45" s="3">
        <v>600.6</v>
      </c>
      <c r="L45" s="3">
        <v>0.14499999999999999</v>
      </c>
      <c r="M45" s="3">
        <v>1.1000000000000001</v>
      </c>
      <c r="N45" s="3" t="s">
        <v>57</v>
      </c>
      <c r="O45" s="3" t="s">
        <v>58</v>
      </c>
      <c r="P45" s="3" t="s">
        <v>59</v>
      </c>
    </row>
    <row r="46" spans="1:16" ht="71.25">
      <c r="A46" s="3" t="s">
        <v>24</v>
      </c>
      <c r="B46" s="3" t="s">
        <v>25</v>
      </c>
      <c r="C46" s="3" t="s">
        <v>26</v>
      </c>
      <c r="D46" s="3" t="s">
        <v>27</v>
      </c>
      <c r="E46" s="3" t="s">
        <v>15</v>
      </c>
      <c r="F46" s="3" t="s">
        <v>16</v>
      </c>
      <c r="G46" s="3" t="s">
        <v>67</v>
      </c>
      <c r="H46" s="3">
        <v>72873</v>
      </c>
      <c r="I46" s="3">
        <v>1364</v>
      </c>
      <c r="J46" s="3">
        <v>10566.58</v>
      </c>
      <c r="K46" s="3">
        <v>1500.4</v>
      </c>
      <c r="L46" s="3">
        <v>0.14499999999999999</v>
      </c>
      <c r="M46" s="3">
        <v>1.1000000000000001</v>
      </c>
      <c r="N46" s="3" t="s">
        <v>57</v>
      </c>
      <c r="O46" s="3" t="s">
        <v>58</v>
      </c>
      <c r="P46" s="3" t="s">
        <v>59</v>
      </c>
    </row>
    <row r="47" spans="1:16" ht="71.25">
      <c r="A47" s="3" t="s">
        <v>24</v>
      </c>
      <c r="B47" s="3" t="s">
        <v>25</v>
      </c>
      <c r="C47" s="3" t="s">
        <v>26</v>
      </c>
      <c r="D47" s="3" t="s">
        <v>27</v>
      </c>
      <c r="E47" s="3" t="s">
        <v>15</v>
      </c>
      <c r="F47" s="3" t="s">
        <v>16</v>
      </c>
      <c r="G47" s="3" t="s">
        <v>68</v>
      </c>
      <c r="H47" s="3">
        <v>65334</v>
      </c>
      <c r="I47" s="3">
        <v>3182</v>
      </c>
      <c r="J47" s="3">
        <v>9473.43</v>
      </c>
      <c r="K47" s="3">
        <v>3500.2</v>
      </c>
      <c r="L47" s="3">
        <v>0.14499999999999999</v>
      </c>
      <c r="M47" s="3">
        <v>1.1000000000000001</v>
      </c>
      <c r="N47" s="3" t="s">
        <v>57</v>
      </c>
      <c r="O47" s="3" t="s">
        <v>58</v>
      </c>
      <c r="P47" s="3" t="s">
        <v>59</v>
      </c>
    </row>
    <row r="48" spans="1:16" ht="71.25">
      <c r="A48" s="3" t="s">
        <v>24</v>
      </c>
      <c r="B48" s="3" t="s">
        <v>25</v>
      </c>
      <c r="C48" s="3" t="s">
        <v>26</v>
      </c>
      <c r="D48" s="3" t="s">
        <v>27</v>
      </c>
      <c r="E48" s="3" t="s">
        <v>15</v>
      </c>
      <c r="F48" s="3" t="s">
        <v>16</v>
      </c>
      <c r="G48" s="3" t="s">
        <v>69</v>
      </c>
      <c r="H48" s="3">
        <v>61146</v>
      </c>
      <c r="I48" s="3">
        <v>5228</v>
      </c>
      <c r="J48" s="3">
        <v>8866.17</v>
      </c>
      <c r="K48" s="3">
        <v>5750.8</v>
      </c>
      <c r="L48" s="3">
        <v>0.14499999999999999</v>
      </c>
      <c r="M48" s="3">
        <v>1.1000000000000001</v>
      </c>
      <c r="N48" s="3" t="s">
        <v>57</v>
      </c>
      <c r="O48" s="3" t="s">
        <v>58</v>
      </c>
      <c r="P48" s="3" t="s">
        <v>59</v>
      </c>
    </row>
    <row r="49" spans="1:16" ht="71.25">
      <c r="A49" s="3" t="s">
        <v>24</v>
      </c>
      <c r="B49" s="3" t="s">
        <v>25</v>
      </c>
      <c r="C49" s="3" t="s">
        <v>26</v>
      </c>
      <c r="D49" s="3" t="s">
        <v>27</v>
      </c>
      <c r="E49" s="3" t="s">
        <v>15</v>
      </c>
      <c r="F49" s="3" t="s">
        <v>16</v>
      </c>
      <c r="G49" s="3" t="s">
        <v>70</v>
      </c>
      <c r="H49" s="3">
        <v>61984</v>
      </c>
      <c r="I49" s="3">
        <v>6637</v>
      </c>
      <c r="J49" s="3">
        <v>8987.68</v>
      </c>
      <c r="K49" s="3">
        <v>7300.7</v>
      </c>
      <c r="L49" s="3">
        <v>0.14499999999999999</v>
      </c>
      <c r="M49" s="3">
        <v>1.1000000000000001</v>
      </c>
      <c r="N49" s="3" t="s">
        <v>57</v>
      </c>
      <c r="O49" s="3" t="s">
        <v>58</v>
      </c>
      <c r="P49" s="3" t="s">
        <v>59</v>
      </c>
    </row>
    <row r="50" spans="1:16" ht="71.25">
      <c r="A50" s="3" t="s">
        <v>28</v>
      </c>
      <c r="B50" s="3" t="s">
        <v>29</v>
      </c>
      <c r="C50" s="3" t="s">
        <v>30</v>
      </c>
      <c r="D50" s="3" t="s">
        <v>30</v>
      </c>
      <c r="E50" s="3" t="s">
        <v>15</v>
      </c>
      <c r="F50" s="3" t="s">
        <v>16</v>
      </c>
      <c r="G50" s="3" t="s">
        <v>56</v>
      </c>
      <c r="H50" s="3">
        <v>51389</v>
      </c>
      <c r="I50" s="3">
        <v>4684</v>
      </c>
      <c r="J50" s="3">
        <v>7451.4</v>
      </c>
      <c r="K50" s="3">
        <v>5152.3999999999996</v>
      </c>
      <c r="L50" s="3">
        <v>0.14499999999999999</v>
      </c>
      <c r="M50" s="3">
        <v>1.1000000000000001</v>
      </c>
      <c r="N50" s="3" t="s">
        <v>57</v>
      </c>
      <c r="O50" s="3" t="s">
        <v>58</v>
      </c>
      <c r="P50" s="3" t="s">
        <v>59</v>
      </c>
    </row>
    <row r="51" spans="1:16" ht="71.25">
      <c r="A51" s="3" t="s">
        <v>28</v>
      </c>
      <c r="B51" s="3" t="s">
        <v>29</v>
      </c>
      <c r="C51" s="3" t="s">
        <v>30</v>
      </c>
      <c r="D51" s="3" t="s">
        <v>30</v>
      </c>
      <c r="E51" s="3" t="s">
        <v>15</v>
      </c>
      <c r="F51" s="3" t="s">
        <v>16</v>
      </c>
      <c r="G51" s="3" t="s">
        <v>60</v>
      </c>
      <c r="H51" s="3">
        <v>47535</v>
      </c>
      <c r="I51" s="3">
        <v>3924</v>
      </c>
      <c r="J51" s="3">
        <v>6892.57</v>
      </c>
      <c r="K51" s="3">
        <v>4316.3999999999996</v>
      </c>
      <c r="L51" s="3">
        <v>0.14499999999999999</v>
      </c>
      <c r="M51" s="3">
        <v>1.1000000000000001</v>
      </c>
      <c r="N51" s="3" t="s">
        <v>57</v>
      </c>
      <c r="O51" s="3" t="s">
        <v>58</v>
      </c>
      <c r="P51" s="3" t="s">
        <v>59</v>
      </c>
    </row>
    <row r="52" spans="1:16" ht="71.25">
      <c r="A52" s="3" t="s">
        <v>28</v>
      </c>
      <c r="B52" s="3" t="s">
        <v>29</v>
      </c>
      <c r="C52" s="3" t="s">
        <v>30</v>
      </c>
      <c r="D52" s="3" t="s">
        <v>30</v>
      </c>
      <c r="E52" s="3" t="s">
        <v>15</v>
      </c>
      <c r="F52" s="3" t="s">
        <v>16</v>
      </c>
      <c r="G52" s="3" t="s">
        <v>61</v>
      </c>
      <c r="H52" s="3">
        <v>48177</v>
      </c>
      <c r="I52" s="3">
        <v>3291</v>
      </c>
      <c r="J52" s="3">
        <v>6985.66</v>
      </c>
      <c r="K52" s="3">
        <v>3620.1</v>
      </c>
      <c r="L52" s="3">
        <v>0.14499999999999999</v>
      </c>
      <c r="M52" s="3">
        <v>1.1000000000000001</v>
      </c>
      <c r="N52" s="3" t="s">
        <v>57</v>
      </c>
      <c r="O52" s="3" t="s">
        <v>58</v>
      </c>
      <c r="P52" s="3" t="s">
        <v>59</v>
      </c>
    </row>
    <row r="53" spans="1:16" ht="71.25">
      <c r="A53" s="3" t="s">
        <v>28</v>
      </c>
      <c r="B53" s="3" t="s">
        <v>29</v>
      </c>
      <c r="C53" s="3" t="s">
        <v>30</v>
      </c>
      <c r="D53" s="3" t="s">
        <v>30</v>
      </c>
      <c r="E53" s="3" t="s">
        <v>15</v>
      </c>
      <c r="F53" s="3" t="s">
        <v>16</v>
      </c>
      <c r="G53" s="3" t="s">
        <v>62</v>
      </c>
      <c r="H53" s="3">
        <v>48177</v>
      </c>
      <c r="I53" s="3">
        <v>2025</v>
      </c>
      <c r="J53" s="3">
        <v>6985.66</v>
      </c>
      <c r="K53" s="3">
        <v>2227.5</v>
      </c>
      <c r="L53" s="3">
        <v>0.14499999999999999</v>
      </c>
      <c r="M53" s="3">
        <v>1.1000000000000001</v>
      </c>
      <c r="N53" s="3" t="s">
        <v>57</v>
      </c>
      <c r="O53" s="3" t="s">
        <v>58</v>
      </c>
      <c r="P53" s="3" t="s">
        <v>59</v>
      </c>
    </row>
    <row r="54" spans="1:16" ht="71.25">
      <c r="A54" s="3" t="s">
        <v>28</v>
      </c>
      <c r="B54" s="3" t="s">
        <v>29</v>
      </c>
      <c r="C54" s="3" t="s">
        <v>30</v>
      </c>
      <c r="D54" s="3" t="s">
        <v>30</v>
      </c>
      <c r="E54" s="3" t="s">
        <v>15</v>
      </c>
      <c r="F54" s="3" t="s">
        <v>16</v>
      </c>
      <c r="G54" s="3" t="s">
        <v>63</v>
      </c>
      <c r="H54" s="3">
        <v>52674</v>
      </c>
      <c r="I54" s="3">
        <v>1139</v>
      </c>
      <c r="J54" s="3">
        <v>7637.73</v>
      </c>
      <c r="K54" s="3">
        <v>1252.9000000000001</v>
      </c>
      <c r="L54" s="3">
        <v>0.14499999999999999</v>
      </c>
      <c r="M54" s="3">
        <v>1.1000000000000001</v>
      </c>
      <c r="N54" s="3" t="s">
        <v>57</v>
      </c>
      <c r="O54" s="3" t="s">
        <v>58</v>
      </c>
      <c r="P54" s="3" t="s">
        <v>59</v>
      </c>
    </row>
    <row r="55" spans="1:16" ht="71.25">
      <c r="A55" s="3" t="s">
        <v>28</v>
      </c>
      <c r="B55" s="3" t="s">
        <v>29</v>
      </c>
      <c r="C55" s="3" t="s">
        <v>30</v>
      </c>
      <c r="D55" s="3" t="s">
        <v>30</v>
      </c>
      <c r="E55" s="3" t="s">
        <v>15</v>
      </c>
      <c r="F55" s="3" t="s">
        <v>16</v>
      </c>
      <c r="G55" s="3" t="s">
        <v>64</v>
      </c>
      <c r="H55" s="3">
        <v>59098</v>
      </c>
      <c r="I55" s="3">
        <v>506</v>
      </c>
      <c r="J55" s="3">
        <v>8569.2099999999991</v>
      </c>
      <c r="K55" s="3">
        <v>556.6</v>
      </c>
      <c r="L55" s="3">
        <v>0.14499999999999999</v>
      </c>
      <c r="M55" s="3">
        <v>1.1000000000000001</v>
      </c>
      <c r="N55" s="3" t="s">
        <v>57</v>
      </c>
      <c r="O55" s="3" t="s">
        <v>58</v>
      </c>
      <c r="P55" s="3" t="s">
        <v>59</v>
      </c>
    </row>
    <row r="56" spans="1:16" ht="71.25">
      <c r="A56" s="3" t="s">
        <v>28</v>
      </c>
      <c r="B56" s="3" t="s">
        <v>29</v>
      </c>
      <c r="C56" s="3" t="s">
        <v>30</v>
      </c>
      <c r="D56" s="3" t="s">
        <v>30</v>
      </c>
      <c r="E56" s="3" t="s">
        <v>15</v>
      </c>
      <c r="F56" s="3" t="s">
        <v>16</v>
      </c>
      <c r="G56" s="3" t="s">
        <v>65</v>
      </c>
      <c r="H56" s="3">
        <v>67448</v>
      </c>
      <c r="I56" s="3">
        <v>304</v>
      </c>
      <c r="J56" s="3">
        <v>9779.9599999999991</v>
      </c>
      <c r="K56" s="3">
        <v>334.4</v>
      </c>
      <c r="L56" s="3">
        <v>0.14499999999999999</v>
      </c>
      <c r="M56" s="3">
        <v>1.1000000000000001</v>
      </c>
      <c r="N56" s="3" t="s">
        <v>57</v>
      </c>
      <c r="O56" s="3" t="s">
        <v>58</v>
      </c>
      <c r="P56" s="3" t="s">
        <v>59</v>
      </c>
    </row>
    <row r="57" spans="1:16" ht="71.25">
      <c r="A57" s="3" t="s">
        <v>28</v>
      </c>
      <c r="B57" s="3" t="s">
        <v>29</v>
      </c>
      <c r="C57" s="3" t="s">
        <v>30</v>
      </c>
      <c r="D57" s="3" t="s">
        <v>30</v>
      </c>
      <c r="E57" s="3" t="s">
        <v>15</v>
      </c>
      <c r="F57" s="3" t="s">
        <v>16</v>
      </c>
      <c r="G57" s="3" t="s">
        <v>66</v>
      </c>
      <c r="H57" s="3">
        <v>67448</v>
      </c>
      <c r="I57" s="3">
        <v>304</v>
      </c>
      <c r="J57" s="3">
        <v>9779.9599999999991</v>
      </c>
      <c r="K57" s="3">
        <v>334.4</v>
      </c>
      <c r="L57" s="3">
        <v>0.14499999999999999</v>
      </c>
      <c r="M57" s="3">
        <v>1.1000000000000001</v>
      </c>
      <c r="N57" s="3" t="s">
        <v>57</v>
      </c>
      <c r="O57" s="3" t="s">
        <v>58</v>
      </c>
      <c r="P57" s="3" t="s">
        <v>59</v>
      </c>
    </row>
    <row r="58" spans="1:16" ht="71.25">
      <c r="A58" s="3" t="s">
        <v>28</v>
      </c>
      <c r="B58" s="3" t="s">
        <v>29</v>
      </c>
      <c r="C58" s="3" t="s">
        <v>30</v>
      </c>
      <c r="D58" s="3" t="s">
        <v>30</v>
      </c>
      <c r="E58" s="3" t="s">
        <v>15</v>
      </c>
      <c r="F58" s="3" t="s">
        <v>16</v>
      </c>
      <c r="G58" s="3" t="s">
        <v>67</v>
      </c>
      <c r="H58" s="3">
        <v>55886</v>
      </c>
      <c r="I58" s="3">
        <v>760</v>
      </c>
      <c r="J58" s="3">
        <v>8103.47</v>
      </c>
      <c r="K58" s="3">
        <v>836</v>
      </c>
      <c r="L58" s="3">
        <v>0.14499999999999999</v>
      </c>
      <c r="M58" s="3">
        <v>1.1000000000000001</v>
      </c>
      <c r="N58" s="3" t="s">
        <v>57</v>
      </c>
      <c r="O58" s="3" t="s">
        <v>58</v>
      </c>
      <c r="P58" s="3" t="s">
        <v>59</v>
      </c>
    </row>
    <row r="59" spans="1:16" ht="71.25">
      <c r="A59" s="3" t="s">
        <v>28</v>
      </c>
      <c r="B59" s="3" t="s">
        <v>29</v>
      </c>
      <c r="C59" s="3" t="s">
        <v>30</v>
      </c>
      <c r="D59" s="3" t="s">
        <v>30</v>
      </c>
      <c r="E59" s="3" t="s">
        <v>15</v>
      </c>
      <c r="F59" s="3" t="s">
        <v>16</v>
      </c>
      <c r="G59" s="3" t="s">
        <v>68</v>
      </c>
      <c r="H59" s="3">
        <v>50104</v>
      </c>
      <c r="I59" s="3">
        <v>1772</v>
      </c>
      <c r="J59" s="3">
        <v>7265.08</v>
      </c>
      <c r="K59" s="3">
        <v>1949.2</v>
      </c>
      <c r="L59" s="3">
        <v>0.14499999999999999</v>
      </c>
      <c r="M59" s="3">
        <v>1.1000000000000001</v>
      </c>
      <c r="N59" s="3" t="s">
        <v>57</v>
      </c>
      <c r="O59" s="3" t="s">
        <v>58</v>
      </c>
      <c r="P59" s="3" t="s">
        <v>59</v>
      </c>
    </row>
    <row r="60" spans="1:16" ht="71.25">
      <c r="A60" s="3" t="s">
        <v>28</v>
      </c>
      <c r="B60" s="3" t="s">
        <v>29</v>
      </c>
      <c r="C60" s="3" t="s">
        <v>30</v>
      </c>
      <c r="D60" s="3" t="s">
        <v>30</v>
      </c>
      <c r="E60" s="3" t="s">
        <v>15</v>
      </c>
      <c r="F60" s="3" t="s">
        <v>16</v>
      </c>
      <c r="G60" s="3" t="s">
        <v>69</v>
      </c>
      <c r="H60" s="3">
        <v>46893</v>
      </c>
      <c r="I60" s="3">
        <v>2912</v>
      </c>
      <c r="J60" s="3">
        <v>6799.48</v>
      </c>
      <c r="K60" s="3">
        <v>3203.2</v>
      </c>
      <c r="L60" s="3">
        <v>0.14499999999999999</v>
      </c>
      <c r="M60" s="3">
        <v>1.1000000000000001</v>
      </c>
      <c r="N60" s="3" t="s">
        <v>57</v>
      </c>
      <c r="O60" s="3" t="s">
        <v>58</v>
      </c>
      <c r="P60" s="3" t="s">
        <v>59</v>
      </c>
    </row>
    <row r="61" spans="1:16" ht="71.25">
      <c r="A61" s="3" t="s">
        <v>28</v>
      </c>
      <c r="B61" s="3" t="s">
        <v>29</v>
      </c>
      <c r="C61" s="3" t="s">
        <v>30</v>
      </c>
      <c r="D61" s="3" t="s">
        <v>30</v>
      </c>
      <c r="E61" s="3" t="s">
        <v>15</v>
      </c>
      <c r="F61" s="3" t="s">
        <v>16</v>
      </c>
      <c r="G61" s="3" t="s">
        <v>70</v>
      </c>
      <c r="H61" s="3">
        <v>47535</v>
      </c>
      <c r="I61" s="3">
        <v>3697</v>
      </c>
      <c r="J61" s="3">
        <v>6892.57</v>
      </c>
      <c r="K61" s="3">
        <v>4066.7</v>
      </c>
      <c r="L61" s="3">
        <v>0.14499999999999999</v>
      </c>
      <c r="M61" s="3">
        <v>1.1000000000000001</v>
      </c>
      <c r="N61" s="3" t="s">
        <v>57</v>
      </c>
      <c r="O61" s="3" t="s">
        <v>58</v>
      </c>
      <c r="P61" s="3" t="s">
        <v>59</v>
      </c>
    </row>
    <row r="62" spans="1:16" ht="71.25">
      <c r="A62" s="3" t="s">
        <v>31</v>
      </c>
      <c r="B62" s="3" t="s">
        <v>32</v>
      </c>
      <c r="C62" s="3" t="s">
        <v>33</v>
      </c>
      <c r="D62" s="3" t="s">
        <v>33</v>
      </c>
      <c r="E62" s="3" t="s">
        <v>15</v>
      </c>
      <c r="F62" s="3" t="s">
        <v>16</v>
      </c>
      <c r="G62" s="3" t="s">
        <v>56</v>
      </c>
      <c r="H62" s="3">
        <v>111590</v>
      </c>
      <c r="I62" s="3">
        <v>14366</v>
      </c>
      <c r="J62" s="3">
        <v>16180.55</v>
      </c>
      <c r="K62" s="3">
        <v>15802.6</v>
      </c>
      <c r="L62" s="3">
        <v>0.14499999999999999</v>
      </c>
      <c r="M62" s="3">
        <v>1.1000000000000001</v>
      </c>
      <c r="N62" s="3" t="s">
        <v>57</v>
      </c>
      <c r="O62" s="3" t="s">
        <v>58</v>
      </c>
      <c r="P62" s="3" t="s">
        <v>59</v>
      </c>
    </row>
    <row r="63" spans="1:16" ht="71.25">
      <c r="A63" s="3" t="s">
        <v>31</v>
      </c>
      <c r="B63" s="3" t="s">
        <v>32</v>
      </c>
      <c r="C63" s="3" t="s">
        <v>33</v>
      </c>
      <c r="D63" s="3" t="s">
        <v>33</v>
      </c>
      <c r="E63" s="3" t="s">
        <v>15</v>
      </c>
      <c r="F63" s="3" t="s">
        <v>16</v>
      </c>
      <c r="G63" s="3" t="s">
        <v>60</v>
      </c>
      <c r="H63" s="3">
        <v>103221</v>
      </c>
      <c r="I63" s="3">
        <v>12036</v>
      </c>
      <c r="J63" s="3">
        <v>14967.04</v>
      </c>
      <c r="K63" s="3">
        <v>13239.6</v>
      </c>
      <c r="L63" s="3">
        <v>0.14499999999999999</v>
      </c>
      <c r="M63" s="3">
        <v>1.1000000000000001</v>
      </c>
      <c r="N63" s="3" t="s">
        <v>57</v>
      </c>
      <c r="O63" s="3" t="s">
        <v>58</v>
      </c>
      <c r="P63" s="3" t="s">
        <v>59</v>
      </c>
    </row>
    <row r="64" spans="1:16" ht="71.25">
      <c r="A64" s="3" t="s">
        <v>31</v>
      </c>
      <c r="B64" s="3" t="s">
        <v>32</v>
      </c>
      <c r="C64" s="3" t="s">
        <v>33</v>
      </c>
      <c r="D64" s="3" t="s">
        <v>33</v>
      </c>
      <c r="E64" s="3" t="s">
        <v>15</v>
      </c>
      <c r="F64" s="3" t="s">
        <v>16</v>
      </c>
      <c r="G64" s="3" t="s">
        <v>61</v>
      </c>
      <c r="H64" s="3">
        <v>104616</v>
      </c>
      <c r="I64" s="3">
        <v>10095</v>
      </c>
      <c r="J64" s="3">
        <v>15169.32</v>
      </c>
      <c r="K64" s="3">
        <v>11104.5</v>
      </c>
      <c r="L64" s="3">
        <v>0.14499999999999999</v>
      </c>
      <c r="M64" s="3">
        <v>1.1000000000000001</v>
      </c>
      <c r="N64" s="3" t="s">
        <v>57</v>
      </c>
      <c r="O64" s="3" t="s">
        <v>58</v>
      </c>
      <c r="P64" s="3" t="s">
        <v>59</v>
      </c>
    </row>
    <row r="65" spans="1:16" ht="71.25">
      <c r="A65" s="3" t="s">
        <v>31</v>
      </c>
      <c r="B65" s="3" t="s">
        <v>32</v>
      </c>
      <c r="C65" s="3" t="s">
        <v>33</v>
      </c>
      <c r="D65" s="3" t="s">
        <v>33</v>
      </c>
      <c r="E65" s="3" t="s">
        <v>15</v>
      </c>
      <c r="F65" s="3" t="s">
        <v>16</v>
      </c>
      <c r="G65" s="3" t="s">
        <v>62</v>
      </c>
      <c r="H65" s="3">
        <v>104616</v>
      </c>
      <c r="I65" s="3">
        <v>6212</v>
      </c>
      <c r="J65" s="3">
        <v>15169.32</v>
      </c>
      <c r="K65" s="3">
        <v>6833.2</v>
      </c>
      <c r="L65" s="3">
        <v>0.14499999999999999</v>
      </c>
      <c r="M65" s="3">
        <v>1.1000000000000001</v>
      </c>
      <c r="N65" s="3" t="s">
        <v>57</v>
      </c>
      <c r="O65" s="3" t="s">
        <v>58</v>
      </c>
      <c r="P65" s="3" t="s">
        <v>59</v>
      </c>
    </row>
    <row r="66" spans="1:16" ht="71.25">
      <c r="A66" s="3" t="s">
        <v>31</v>
      </c>
      <c r="B66" s="3" t="s">
        <v>32</v>
      </c>
      <c r="C66" s="3" t="s">
        <v>33</v>
      </c>
      <c r="D66" s="3" t="s">
        <v>33</v>
      </c>
      <c r="E66" s="3" t="s">
        <v>15</v>
      </c>
      <c r="F66" s="3" t="s">
        <v>16</v>
      </c>
      <c r="G66" s="3" t="s">
        <v>63</v>
      </c>
      <c r="H66" s="3">
        <v>114380</v>
      </c>
      <c r="I66" s="3">
        <v>3494</v>
      </c>
      <c r="J66" s="3">
        <v>16585.099999999999</v>
      </c>
      <c r="K66" s="3">
        <v>3843.4</v>
      </c>
      <c r="L66" s="3">
        <v>0.14499999999999999</v>
      </c>
      <c r="M66" s="3">
        <v>1.1000000000000001</v>
      </c>
      <c r="N66" s="3" t="s">
        <v>57</v>
      </c>
      <c r="O66" s="3" t="s">
        <v>58</v>
      </c>
      <c r="P66" s="3" t="s">
        <v>59</v>
      </c>
    </row>
    <row r="67" spans="1:16" ht="71.25">
      <c r="A67" s="3" t="s">
        <v>31</v>
      </c>
      <c r="B67" s="3" t="s">
        <v>32</v>
      </c>
      <c r="C67" s="3" t="s">
        <v>33</v>
      </c>
      <c r="D67" s="3" t="s">
        <v>33</v>
      </c>
      <c r="E67" s="3" t="s">
        <v>15</v>
      </c>
      <c r="F67" s="3" t="s">
        <v>16</v>
      </c>
      <c r="G67" s="3" t="s">
        <v>64</v>
      </c>
      <c r="H67" s="3">
        <v>128328</v>
      </c>
      <c r="I67" s="3">
        <v>1553</v>
      </c>
      <c r="J67" s="3">
        <v>18607.560000000001</v>
      </c>
      <c r="K67" s="3">
        <v>1708.3</v>
      </c>
      <c r="L67" s="3">
        <v>0.14499999999999999</v>
      </c>
      <c r="M67" s="3">
        <v>1.1000000000000001</v>
      </c>
      <c r="N67" s="3" t="s">
        <v>57</v>
      </c>
      <c r="O67" s="3" t="s">
        <v>58</v>
      </c>
      <c r="P67" s="3" t="s">
        <v>59</v>
      </c>
    </row>
    <row r="68" spans="1:16" ht="71.25">
      <c r="A68" s="3" t="s">
        <v>31</v>
      </c>
      <c r="B68" s="3" t="s">
        <v>32</v>
      </c>
      <c r="C68" s="3" t="s">
        <v>33</v>
      </c>
      <c r="D68" s="3" t="s">
        <v>33</v>
      </c>
      <c r="E68" s="3" t="s">
        <v>15</v>
      </c>
      <c r="F68" s="3" t="s">
        <v>16</v>
      </c>
      <c r="G68" s="3" t="s">
        <v>65</v>
      </c>
      <c r="H68" s="3">
        <v>146462</v>
      </c>
      <c r="I68" s="3">
        <v>932</v>
      </c>
      <c r="J68" s="3">
        <v>21236.99</v>
      </c>
      <c r="K68" s="3">
        <v>1025.2</v>
      </c>
      <c r="L68" s="3">
        <v>0.14499999999999999</v>
      </c>
      <c r="M68" s="3">
        <v>1.1000000000000001</v>
      </c>
      <c r="N68" s="3" t="s">
        <v>57</v>
      </c>
      <c r="O68" s="3" t="s">
        <v>58</v>
      </c>
      <c r="P68" s="3" t="s">
        <v>59</v>
      </c>
    </row>
    <row r="69" spans="1:16" ht="71.25">
      <c r="A69" s="3" t="s">
        <v>31</v>
      </c>
      <c r="B69" s="3" t="s">
        <v>32</v>
      </c>
      <c r="C69" s="3" t="s">
        <v>33</v>
      </c>
      <c r="D69" s="3" t="s">
        <v>33</v>
      </c>
      <c r="E69" s="3" t="s">
        <v>15</v>
      </c>
      <c r="F69" s="3" t="s">
        <v>16</v>
      </c>
      <c r="G69" s="3" t="s">
        <v>66</v>
      </c>
      <c r="H69" s="3">
        <v>146462</v>
      </c>
      <c r="I69" s="3">
        <v>932</v>
      </c>
      <c r="J69" s="3">
        <v>21236.99</v>
      </c>
      <c r="K69" s="3">
        <v>1025.2</v>
      </c>
      <c r="L69" s="3">
        <v>0.14499999999999999</v>
      </c>
      <c r="M69" s="3">
        <v>1.1000000000000001</v>
      </c>
      <c r="N69" s="3" t="s">
        <v>57</v>
      </c>
      <c r="O69" s="3" t="s">
        <v>58</v>
      </c>
      <c r="P69" s="3" t="s">
        <v>59</v>
      </c>
    </row>
    <row r="70" spans="1:16" ht="71.25">
      <c r="A70" s="3" t="s">
        <v>31</v>
      </c>
      <c r="B70" s="3" t="s">
        <v>32</v>
      </c>
      <c r="C70" s="3" t="s">
        <v>33</v>
      </c>
      <c r="D70" s="3" t="s">
        <v>33</v>
      </c>
      <c r="E70" s="3" t="s">
        <v>15</v>
      </c>
      <c r="F70" s="3" t="s">
        <v>16</v>
      </c>
      <c r="G70" s="3" t="s">
        <v>67</v>
      </c>
      <c r="H70" s="3">
        <v>121354</v>
      </c>
      <c r="I70" s="3">
        <v>2330</v>
      </c>
      <c r="J70" s="3">
        <v>17596.330000000002</v>
      </c>
      <c r="K70" s="3">
        <v>2563</v>
      </c>
      <c r="L70" s="3">
        <v>0.14499999999999999</v>
      </c>
      <c r="M70" s="3">
        <v>1.1000000000000001</v>
      </c>
      <c r="N70" s="3" t="s">
        <v>57</v>
      </c>
      <c r="O70" s="3" t="s">
        <v>58</v>
      </c>
      <c r="P70" s="3" t="s">
        <v>59</v>
      </c>
    </row>
    <row r="71" spans="1:16" ht="71.25">
      <c r="A71" s="3" t="s">
        <v>31</v>
      </c>
      <c r="B71" s="3" t="s">
        <v>32</v>
      </c>
      <c r="C71" s="3" t="s">
        <v>33</v>
      </c>
      <c r="D71" s="3" t="s">
        <v>33</v>
      </c>
      <c r="E71" s="3" t="s">
        <v>15</v>
      </c>
      <c r="F71" s="3" t="s">
        <v>16</v>
      </c>
      <c r="G71" s="3" t="s">
        <v>68</v>
      </c>
      <c r="H71" s="3">
        <v>108800</v>
      </c>
      <c r="I71" s="3">
        <v>5436</v>
      </c>
      <c r="J71" s="3">
        <v>15776</v>
      </c>
      <c r="K71" s="3">
        <v>5979.6</v>
      </c>
      <c r="L71" s="3">
        <v>0.14499999999999999</v>
      </c>
      <c r="M71" s="3">
        <v>1.1000000000000001</v>
      </c>
      <c r="N71" s="3" t="s">
        <v>57</v>
      </c>
      <c r="O71" s="3" t="s">
        <v>58</v>
      </c>
      <c r="P71" s="3" t="s">
        <v>59</v>
      </c>
    </row>
    <row r="72" spans="1:16" ht="71.25">
      <c r="A72" s="3" t="s">
        <v>31</v>
      </c>
      <c r="B72" s="3" t="s">
        <v>32</v>
      </c>
      <c r="C72" s="3" t="s">
        <v>33</v>
      </c>
      <c r="D72" s="3" t="s">
        <v>33</v>
      </c>
      <c r="E72" s="3" t="s">
        <v>15</v>
      </c>
      <c r="F72" s="3" t="s">
        <v>16</v>
      </c>
      <c r="G72" s="3" t="s">
        <v>69</v>
      </c>
      <c r="H72" s="3">
        <v>101826</v>
      </c>
      <c r="I72" s="3">
        <v>8930</v>
      </c>
      <c r="J72" s="3">
        <v>14764.77</v>
      </c>
      <c r="K72" s="3">
        <v>9823</v>
      </c>
      <c r="L72" s="3">
        <v>0.14499999999999999</v>
      </c>
      <c r="M72" s="3">
        <v>1.1000000000000001</v>
      </c>
      <c r="N72" s="3" t="s">
        <v>57</v>
      </c>
      <c r="O72" s="3" t="s">
        <v>58</v>
      </c>
      <c r="P72" s="3" t="s">
        <v>59</v>
      </c>
    </row>
    <row r="73" spans="1:16" ht="71.25">
      <c r="A73" s="3" t="s">
        <v>31</v>
      </c>
      <c r="B73" s="3" t="s">
        <v>32</v>
      </c>
      <c r="C73" s="3" t="s">
        <v>33</v>
      </c>
      <c r="D73" s="3" t="s">
        <v>33</v>
      </c>
      <c r="E73" s="3" t="s">
        <v>15</v>
      </c>
      <c r="F73" s="3" t="s">
        <v>16</v>
      </c>
      <c r="G73" s="3" t="s">
        <v>70</v>
      </c>
      <c r="H73" s="3">
        <v>103221</v>
      </c>
      <c r="I73" s="3">
        <v>11337</v>
      </c>
      <c r="J73" s="3">
        <v>14967.04</v>
      </c>
      <c r="K73" s="3">
        <v>12470.7</v>
      </c>
      <c r="L73" s="3">
        <v>0.14499999999999999</v>
      </c>
      <c r="M73" s="3">
        <v>1.1000000000000001</v>
      </c>
      <c r="N73" s="3" t="s">
        <v>57</v>
      </c>
      <c r="O73" s="3" t="s">
        <v>58</v>
      </c>
      <c r="P73" s="3" t="s">
        <v>59</v>
      </c>
    </row>
    <row r="74" spans="1:16" ht="71.25">
      <c r="A74" s="3" t="s">
        <v>34</v>
      </c>
      <c r="B74" s="3" t="s">
        <v>35</v>
      </c>
      <c r="C74" s="3" t="s">
        <v>36</v>
      </c>
      <c r="D74" s="3" t="s">
        <v>37</v>
      </c>
      <c r="E74" s="3" t="s">
        <v>15</v>
      </c>
      <c r="F74" s="3" t="s">
        <v>16</v>
      </c>
      <c r="G74" s="3" t="s">
        <v>56</v>
      </c>
      <c r="H74" s="3">
        <v>72635</v>
      </c>
      <c r="I74" s="3">
        <v>7206</v>
      </c>
      <c r="J74" s="3">
        <v>10532.07</v>
      </c>
      <c r="K74" s="3">
        <v>7926.6</v>
      </c>
      <c r="L74" s="3">
        <v>0.14499999999999999</v>
      </c>
      <c r="M74" s="3">
        <v>1.1000000000000001</v>
      </c>
      <c r="N74" s="3" t="s">
        <v>57</v>
      </c>
      <c r="O74" s="3" t="s">
        <v>58</v>
      </c>
      <c r="P74" s="3" t="s">
        <v>59</v>
      </c>
    </row>
    <row r="75" spans="1:16" ht="71.25">
      <c r="A75" s="3" t="s">
        <v>34</v>
      </c>
      <c r="B75" s="3" t="s">
        <v>35</v>
      </c>
      <c r="C75" s="3" t="s">
        <v>36</v>
      </c>
      <c r="D75" s="3" t="s">
        <v>37</v>
      </c>
      <c r="E75" s="3" t="s">
        <v>15</v>
      </c>
      <c r="F75" s="3" t="s">
        <v>16</v>
      </c>
      <c r="G75" s="3" t="s">
        <v>60</v>
      </c>
      <c r="H75" s="3">
        <v>67188</v>
      </c>
      <c r="I75" s="3">
        <v>6037</v>
      </c>
      <c r="J75" s="3">
        <v>9742.26</v>
      </c>
      <c r="K75" s="3">
        <v>6640.7</v>
      </c>
      <c r="L75" s="3">
        <v>0.14499999999999999</v>
      </c>
      <c r="M75" s="3">
        <v>1.1000000000000001</v>
      </c>
      <c r="N75" s="3" t="s">
        <v>57</v>
      </c>
      <c r="O75" s="3" t="s">
        <v>58</v>
      </c>
      <c r="P75" s="3" t="s">
        <v>59</v>
      </c>
    </row>
    <row r="76" spans="1:16" ht="71.25">
      <c r="A76" s="3" t="s">
        <v>34</v>
      </c>
      <c r="B76" s="3" t="s">
        <v>35</v>
      </c>
      <c r="C76" s="3" t="s">
        <v>36</v>
      </c>
      <c r="D76" s="3" t="s">
        <v>37</v>
      </c>
      <c r="E76" s="3" t="s">
        <v>15</v>
      </c>
      <c r="F76" s="3" t="s">
        <v>16</v>
      </c>
      <c r="G76" s="3" t="s">
        <v>61</v>
      </c>
      <c r="H76" s="3">
        <v>68096</v>
      </c>
      <c r="I76" s="3">
        <v>5064</v>
      </c>
      <c r="J76" s="3">
        <v>9873.92</v>
      </c>
      <c r="K76" s="3">
        <v>5570.4</v>
      </c>
      <c r="L76" s="3">
        <v>0.14499999999999999</v>
      </c>
      <c r="M76" s="3">
        <v>1.1000000000000001</v>
      </c>
      <c r="N76" s="3" t="s">
        <v>57</v>
      </c>
      <c r="O76" s="3" t="s">
        <v>58</v>
      </c>
      <c r="P76" s="3" t="s">
        <v>59</v>
      </c>
    </row>
    <row r="77" spans="1:16" ht="71.25">
      <c r="A77" s="3" t="s">
        <v>34</v>
      </c>
      <c r="B77" s="3" t="s">
        <v>35</v>
      </c>
      <c r="C77" s="3" t="s">
        <v>36</v>
      </c>
      <c r="D77" s="3" t="s">
        <v>37</v>
      </c>
      <c r="E77" s="3" t="s">
        <v>15</v>
      </c>
      <c r="F77" s="3" t="s">
        <v>16</v>
      </c>
      <c r="G77" s="3" t="s">
        <v>62</v>
      </c>
      <c r="H77" s="3">
        <v>68096</v>
      </c>
      <c r="I77" s="3">
        <v>3116</v>
      </c>
      <c r="J77" s="3">
        <v>9873.92</v>
      </c>
      <c r="K77" s="3">
        <v>3427.6</v>
      </c>
      <c r="L77" s="3">
        <v>0.14499999999999999</v>
      </c>
      <c r="M77" s="3">
        <v>1.1000000000000001</v>
      </c>
      <c r="N77" s="3" t="s">
        <v>57</v>
      </c>
      <c r="O77" s="3" t="s">
        <v>58</v>
      </c>
      <c r="P77" s="3" t="s">
        <v>59</v>
      </c>
    </row>
    <row r="78" spans="1:16" ht="71.25">
      <c r="A78" s="3" t="s">
        <v>34</v>
      </c>
      <c r="B78" s="3" t="s">
        <v>35</v>
      </c>
      <c r="C78" s="3" t="s">
        <v>36</v>
      </c>
      <c r="D78" s="3" t="s">
        <v>37</v>
      </c>
      <c r="E78" s="3" t="s">
        <v>15</v>
      </c>
      <c r="F78" s="3" t="s">
        <v>16</v>
      </c>
      <c r="G78" s="3" t="s">
        <v>63</v>
      </c>
      <c r="H78" s="3">
        <v>74451</v>
      </c>
      <c r="I78" s="3">
        <v>1753</v>
      </c>
      <c r="J78" s="3">
        <v>10795.39</v>
      </c>
      <c r="K78" s="3">
        <v>1928.3</v>
      </c>
      <c r="L78" s="3">
        <v>0.14499999999999999</v>
      </c>
      <c r="M78" s="3">
        <v>1.1000000000000001</v>
      </c>
      <c r="N78" s="3" t="s">
        <v>57</v>
      </c>
      <c r="O78" s="3" t="s">
        <v>58</v>
      </c>
      <c r="P78" s="3" t="s">
        <v>59</v>
      </c>
    </row>
    <row r="79" spans="1:16" ht="71.25">
      <c r="A79" s="3" t="s">
        <v>34</v>
      </c>
      <c r="B79" s="3" t="s">
        <v>35</v>
      </c>
      <c r="C79" s="3" t="s">
        <v>36</v>
      </c>
      <c r="D79" s="3" t="s">
        <v>37</v>
      </c>
      <c r="E79" s="3" t="s">
        <v>15</v>
      </c>
      <c r="F79" s="3" t="s">
        <v>16</v>
      </c>
      <c r="G79" s="3" t="s">
        <v>64</v>
      </c>
      <c r="H79" s="3">
        <v>83531</v>
      </c>
      <c r="I79" s="3">
        <v>779</v>
      </c>
      <c r="J79" s="3">
        <v>12111.99</v>
      </c>
      <c r="K79" s="3">
        <v>856.9</v>
      </c>
      <c r="L79" s="3">
        <v>0.14499999999999999</v>
      </c>
      <c r="M79" s="3">
        <v>1.1000000000000001</v>
      </c>
      <c r="N79" s="3" t="s">
        <v>57</v>
      </c>
      <c r="O79" s="3" t="s">
        <v>58</v>
      </c>
      <c r="P79" s="3" t="s">
        <v>59</v>
      </c>
    </row>
    <row r="80" spans="1:16" ht="71.25">
      <c r="A80" s="3" t="s">
        <v>34</v>
      </c>
      <c r="B80" s="3" t="s">
        <v>35</v>
      </c>
      <c r="C80" s="3" t="s">
        <v>36</v>
      </c>
      <c r="D80" s="3" t="s">
        <v>37</v>
      </c>
      <c r="E80" s="3" t="s">
        <v>15</v>
      </c>
      <c r="F80" s="3" t="s">
        <v>16</v>
      </c>
      <c r="G80" s="3" t="s">
        <v>65</v>
      </c>
      <c r="H80" s="3">
        <v>95334</v>
      </c>
      <c r="I80" s="3">
        <v>467</v>
      </c>
      <c r="J80" s="3">
        <v>13823.43</v>
      </c>
      <c r="K80" s="3">
        <v>513.70000000000005</v>
      </c>
      <c r="L80" s="3">
        <v>0.14499999999999999</v>
      </c>
      <c r="M80" s="3">
        <v>1.1000000000000001</v>
      </c>
      <c r="N80" s="3" t="s">
        <v>57</v>
      </c>
      <c r="O80" s="3" t="s">
        <v>58</v>
      </c>
      <c r="P80" s="3" t="s">
        <v>59</v>
      </c>
    </row>
    <row r="81" spans="1:16" ht="71.25">
      <c r="A81" s="3" t="s">
        <v>34</v>
      </c>
      <c r="B81" s="3" t="s">
        <v>35</v>
      </c>
      <c r="C81" s="3" t="s">
        <v>36</v>
      </c>
      <c r="D81" s="3" t="s">
        <v>37</v>
      </c>
      <c r="E81" s="3" t="s">
        <v>15</v>
      </c>
      <c r="F81" s="3" t="s">
        <v>16</v>
      </c>
      <c r="G81" s="3" t="s">
        <v>66</v>
      </c>
      <c r="H81" s="3">
        <v>95334</v>
      </c>
      <c r="I81" s="3">
        <v>467</v>
      </c>
      <c r="J81" s="3">
        <v>13823.43</v>
      </c>
      <c r="K81" s="3">
        <v>513.70000000000005</v>
      </c>
      <c r="L81" s="3">
        <v>0.14499999999999999</v>
      </c>
      <c r="M81" s="3">
        <v>1.1000000000000001</v>
      </c>
      <c r="N81" s="3" t="s">
        <v>57</v>
      </c>
      <c r="O81" s="3" t="s">
        <v>58</v>
      </c>
      <c r="P81" s="3" t="s">
        <v>59</v>
      </c>
    </row>
    <row r="82" spans="1:16" ht="71.25">
      <c r="A82" s="3" t="s">
        <v>34</v>
      </c>
      <c r="B82" s="3" t="s">
        <v>35</v>
      </c>
      <c r="C82" s="3" t="s">
        <v>36</v>
      </c>
      <c r="D82" s="3" t="s">
        <v>37</v>
      </c>
      <c r="E82" s="3" t="s">
        <v>15</v>
      </c>
      <c r="F82" s="3" t="s">
        <v>16</v>
      </c>
      <c r="G82" s="3" t="s">
        <v>67</v>
      </c>
      <c r="H82" s="3">
        <v>78991</v>
      </c>
      <c r="I82" s="3">
        <v>1169</v>
      </c>
      <c r="J82" s="3">
        <v>11453.69</v>
      </c>
      <c r="K82" s="3">
        <v>1285.9000000000001</v>
      </c>
      <c r="L82" s="3">
        <v>0.14499999999999999</v>
      </c>
      <c r="M82" s="3">
        <v>1.1000000000000001</v>
      </c>
      <c r="N82" s="3" t="s">
        <v>57</v>
      </c>
      <c r="O82" s="3" t="s">
        <v>58</v>
      </c>
      <c r="P82" s="3" t="s">
        <v>59</v>
      </c>
    </row>
    <row r="83" spans="1:16" ht="71.25">
      <c r="A83" s="3" t="s">
        <v>34</v>
      </c>
      <c r="B83" s="3" t="s">
        <v>35</v>
      </c>
      <c r="C83" s="3" t="s">
        <v>36</v>
      </c>
      <c r="D83" s="3" t="s">
        <v>37</v>
      </c>
      <c r="E83" s="3" t="s">
        <v>15</v>
      </c>
      <c r="F83" s="3" t="s">
        <v>16</v>
      </c>
      <c r="G83" s="3" t="s">
        <v>68</v>
      </c>
      <c r="H83" s="3">
        <v>70819</v>
      </c>
      <c r="I83" s="3">
        <v>2727</v>
      </c>
      <c r="J83" s="3">
        <v>10268.75</v>
      </c>
      <c r="K83" s="3">
        <v>2999.7</v>
      </c>
      <c r="L83" s="3">
        <v>0.14499999999999999</v>
      </c>
      <c r="M83" s="3">
        <v>1.1000000000000001</v>
      </c>
      <c r="N83" s="3" t="s">
        <v>57</v>
      </c>
      <c r="O83" s="3" t="s">
        <v>58</v>
      </c>
      <c r="P83" s="3" t="s">
        <v>59</v>
      </c>
    </row>
    <row r="84" spans="1:16" ht="71.25">
      <c r="A84" s="3" t="s">
        <v>34</v>
      </c>
      <c r="B84" s="3" t="s">
        <v>35</v>
      </c>
      <c r="C84" s="3" t="s">
        <v>36</v>
      </c>
      <c r="D84" s="3" t="s">
        <v>37</v>
      </c>
      <c r="E84" s="3" t="s">
        <v>15</v>
      </c>
      <c r="F84" s="3" t="s">
        <v>16</v>
      </c>
      <c r="G84" s="3" t="s">
        <v>69</v>
      </c>
      <c r="H84" s="3">
        <v>66280</v>
      </c>
      <c r="I84" s="3">
        <v>4479</v>
      </c>
      <c r="J84" s="3">
        <v>9610.6</v>
      </c>
      <c r="K84" s="3">
        <v>4926.8999999999996</v>
      </c>
      <c r="L84" s="3">
        <v>0.14499999999999999</v>
      </c>
      <c r="M84" s="3">
        <v>1.1000000000000001</v>
      </c>
      <c r="N84" s="3" t="s">
        <v>57</v>
      </c>
      <c r="O84" s="3" t="s">
        <v>58</v>
      </c>
      <c r="P84" s="3" t="s">
        <v>59</v>
      </c>
    </row>
    <row r="85" spans="1:16" ht="71.25">
      <c r="A85" s="3" t="s">
        <v>34</v>
      </c>
      <c r="B85" s="3" t="s">
        <v>35</v>
      </c>
      <c r="C85" s="3" t="s">
        <v>36</v>
      </c>
      <c r="D85" s="3" t="s">
        <v>37</v>
      </c>
      <c r="E85" s="3" t="s">
        <v>15</v>
      </c>
      <c r="F85" s="3" t="s">
        <v>16</v>
      </c>
      <c r="G85" s="3" t="s">
        <v>70</v>
      </c>
      <c r="H85" s="3">
        <v>67188</v>
      </c>
      <c r="I85" s="3">
        <v>5687</v>
      </c>
      <c r="J85" s="3">
        <v>9742.26</v>
      </c>
      <c r="K85" s="3">
        <v>6255.7</v>
      </c>
      <c r="L85" s="3">
        <v>0.14499999999999999</v>
      </c>
      <c r="M85" s="3">
        <v>1.1000000000000001</v>
      </c>
      <c r="N85" s="3" t="s">
        <v>57</v>
      </c>
      <c r="O85" s="3" t="s">
        <v>58</v>
      </c>
      <c r="P85" s="3" t="s">
        <v>59</v>
      </c>
    </row>
    <row r="86" spans="1:16" ht="71.25">
      <c r="A86" s="3" t="s">
        <v>38</v>
      </c>
      <c r="B86" s="3" t="s">
        <v>39</v>
      </c>
      <c r="C86" s="3" t="s">
        <v>40</v>
      </c>
      <c r="D86" s="3" t="s">
        <v>40</v>
      </c>
      <c r="E86" s="3" t="s">
        <v>15</v>
      </c>
      <c r="F86" s="3" t="s">
        <v>16</v>
      </c>
      <c r="G86" s="3" t="s">
        <v>56</v>
      </c>
      <c r="H86" s="3">
        <v>60803</v>
      </c>
      <c r="I86" s="3">
        <v>6904</v>
      </c>
      <c r="J86" s="3">
        <v>8816.43</v>
      </c>
      <c r="K86" s="3">
        <v>7594.4</v>
      </c>
      <c r="L86" s="3">
        <v>0.14499999999999999</v>
      </c>
      <c r="M86" s="3">
        <v>1.1000000000000001</v>
      </c>
      <c r="N86" s="3" t="s">
        <v>57</v>
      </c>
      <c r="O86" s="3" t="s">
        <v>58</v>
      </c>
      <c r="P86" s="3" t="s">
        <v>59</v>
      </c>
    </row>
    <row r="87" spans="1:16" ht="71.25">
      <c r="A87" s="3" t="s">
        <v>38</v>
      </c>
      <c r="B87" s="3" t="s">
        <v>39</v>
      </c>
      <c r="C87" s="3" t="s">
        <v>40</v>
      </c>
      <c r="D87" s="3" t="s">
        <v>40</v>
      </c>
      <c r="E87" s="3" t="s">
        <v>15</v>
      </c>
      <c r="F87" s="3" t="s">
        <v>16</v>
      </c>
      <c r="G87" s="3" t="s">
        <v>60</v>
      </c>
      <c r="H87" s="3">
        <v>56243</v>
      </c>
      <c r="I87" s="3">
        <v>5784</v>
      </c>
      <c r="J87" s="3">
        <v>8155.23</v>
      </c>
      <c r="K87" s="3">
        <v>6362.4</v>
      </c>
      <c r="L87" s="3">
        <v>0.14499999999999999</v>
      </c>
      <c r="M87" s="3">
        <v>1.1000000000000001</v>
      </c>
      <c r="N87" s="3" t="s">
        <v>57</v>
      </c>
      <c r="O87" s="3" t="s">
        <v>58</v>
      </c>
      <c r="P87" s="3" t="s">
        <v>59</v>
      </c>
    </row>
    <row r="88" spans="1:16" ht="71.25">
      <c r="A88" s="3" t="s">
        <v>38</v>
      </c>
      <c r="B88" s="3" t="s">
        <v>39</v>
      </c>
      <c r="C88" s="3" t="s">
        <v>40</v>
      </c>
      <c r="D88" s="3" t="s">
        <v>40</v>
      </c>
      <c r="E88" s="3" t="s">
        <v>15</v>
      </c>
      <c r="F88" s="3" t="s">
        <v>16</v>
      </c>
      <c r="G88" s="3" t="s">
        <v>61</v>
      </c>
      <c r="H88" s="3">
        <v>57003</v>
      </c>
      <c r="I88" s="3">
        <v>4851</v>
      </c>
      <c r="J88" s="3">
        <v>8265.43</v>
      </c>
      <c r="K88" s="3">
        <v>5336.1</v>
      </c>
      <c r="L88" s="3">
        <v>0.14499999999999999</v>
      </c>
      <c r="M88" s="3">
        <v>1.1000000000000001</v>
      </c>
      <c r="N88" s="3" t="s">
        <v>57</v>
      </c>
      <c r="O88" s="3" t="s">
        <v>58</v>
      </c>
      <c r="P88" s="3" t="s">
        <v>59</v>
      </c>
    </row>
    <row r="89" spans="1:16" ht="71.25">
      <c r="A89" s="3" t="s">
        <v>38</v>
      </c>
      <c r="B89" s="3" t="s">
        <v>39</v>
      </c>
      <c r="C89" s="3" t="s">
        <v>40</v>
      </c>
      <c r="D89" s="3" t="s">
        <v>40</v>
      </c>
      <c r="E89" s="3" t="s">
        <v>15</v>
      </c>
      <c r="F89" s="3" t="s">
        <v>16</v>
      </c>
      <c r="G89" s="3" t="s">
        <v>62</v>
      </c>
      <c r="H89" s="3">
        <v>57003</v>
      </c>
      <c r="I89" s="3">
        <v>2985</v>
      </c>
      <c r="J89" s="3">
        <v>8265.43</v>
      </c>
      <c r="K89" s="3">
        <v>3283.5</v>
      </c>
      <c r="L89" s="3">
        <v>0.14499999999999999</v>
      </c>
      <c r="M89" s="3">
        <v>1.1000000000000001</v>
      </c>
      <c r="N89" s="3" t="s">
        <v>57</v>
      </c>
      <c r="O89" s="3" t="s">
        <v>58</v>
      </c>
      <c r="P89" s="3" t="s">
        <v>59</v>
      </c>
    </row>
    <row r="90" spans="1:16" ht="71.25">
      <c r="A90" s="3" t="s">
        <v>38</v>
      </c>
      <c r="B90" s="3" t="s">
        <v>39</v>
      </c>
      <c r="C90" s="3" t="s">
        <v>40</v>
      </c>
      <c r="D90" s="3" t="s">
        <v>40</v>
      </c>
      <c r="E90" s="3" t="s">
        <v>15</v>
      </c>
      <c r="F90" s="3" t="s">
        <v>16</v>
      </c>
      <c r="G90" s="3" t="s">
        <v>63</v>
      </c>
      <c r="H90" s="3">
        <v>62323</v>
      </c>
      <c r="I90" s="3">
        <v>1679</v>
      </c>
      <c r="J90" s="3">
        <v>9036.83</v>
      </c>
      <c r="K90" s="3">
        <v>1846.9</v>
      </c>
      <c r="L90" s="3">
        <v>0.14499999999999999</v>
      </c>
      <c r="M90" s="3">
        <v>1.1000000000000001</v>
      </c>
      <c r="N90" s="3" t="s">
        <v>57</v>
      </c>
      <c r="O90" s="3" t="s">
        <v>58</v>
      </c>
      <c r="P90" s="3" t="s">
        <v>59</v>
      </c>
    </row>
    <row r="91" spans="1:16" ht="71.25">
      <c r="A91" s="3" t="s">
        <v>38</v>
      </c>
      <c r="B91" s="3" t="s">
        <v>39</v>
      </c>
      <c r="C91" s="3" t="s">
        <v>40</v>
      </c>
      <c r="D91" s="3" t="s">
        <v>40</v>
      </c>
      <c r="E91" s="3" t="s">
        <v>15</v>
      </c>
      <c r="F91" s="3" t="s">
        <v>16</v>
      </c>
      <c r="G91" s="3" t="s">
        <v>64</v>
      </c>
      <c r="H91" s="3">
        <v>69924</v>
      </c>
      <c r="I91" s="3">
        <v>746</v>
      </c>
      <c r="J91" s="3">
        <v>10138.98</v>
      </c>
      <c r="K91" s="3">
        <v>820.6</v>
      </c>
      <c r="L91" s="3">
        <v>0.14499999999999999</v>
      </c>
      <c r="M91" s="3">
        <v>1.1000000000000001</v>
      </c>
      <c r="N91" s="3" t="s">
        <v>57</v>
      </c>
      <c r="O91" s="3" t="s">
        <v>58</v>
      </c>
      <c r="P91" s="3" t="s">
        <v>59</v>
      </c>
    </row>
    <row r="92" spans="1:16" ht="71.25">
      <c r="A92" s="3" t="s">
        <v>38</v>
      </c>
      <c r="B92" s="3" t="s">
        <v>39</v>
      </c>
      <c r="C92" s="3" t="s">
        <v>40</v>
      </c>
      <c r="D92" s="3" t="s">
        <v>40</v>
      </c>
      <c r="E92" s="3" t="s">
        <v>15</v>
      </c>
      <c r="F92" s="3" t="s">
        <v>16</v>
      </c>
      <c r="G92" s="3" t="s">
        <v>65</v>
      </c>
      <c r="H92" s="3">
        <v>79804</v>
      </c>
      <c r="I92" s="3">
        <v>448</v>
      </c>
      <c r="J92" s="3">
        <v>11571.58</v>
      </c>
      <c r="K92" s="3">
        <v>492.8</v>
      </c>
      <c r="L92" s="3">
        <v>0.14499999999999999</v>
      </c>
      <c r="M92" s="3">
        <v>1.1000000000000001</v>
      </c>
      <c r="N92" s="3" t="s">
        <v>57</v>
      </c>
      <c r="O92" s="3" t="s">
        <v>58</v>
      </c>
      <c r="P92" s="3" t="s">
        <v>59</v>
      </c>
    </row>
    <row r="93" spans="1:16" ht="71.25">
      <c r="A93" s="3" t="s">
        <v>38</v>
      </c>
      <c r="B93" s="3" t="s">
        <v>39</v>
      </c>
      <c r="C93" s="3" t="s">
        <v>40</v>
      </c>
      <c r="D93" s="3" t="s">
        <v>40</v>
      </c>
      <c r="E93" s="3" t="s">
        <v>15</v>
      </c>
      <c r="F93" s="3" t="s">
        <v>16</v>
      </c>
      <c r="G93" s="3" t="s">
        <v>66</v>
      </c>
      <c r="H93" s="3">
        <v>79804</v>
      </c>
      <c r="I93" s="3">
        <v>448</v>
      </c>
      <c r="J93" s="3">
        <v>11571.58</v>
      </c>
      <c r="K93" s="3">
        <v>492.8</v>
      </c>
      <c r="L93" s="3">
        <v>0.14499999999999999</v>
      </c>
      <c r="M93" s="3">
        <v>1.1000000000000001</v>
      </c>
      <c r="N93" s="3" t="s">
        <v>57</v>
      </c>
      <c r="O93" s="3" t="s">
        <v>58</v>
      </c>
      <c r="P93" s="3" t="s">
        <v>59</v>
      </c>
    </row>
    <row r="94" spans="1:16" ht="71.25">
      <c r="A94" s="3" t="s">
        <v>38</v>
      </c>
      <c r="B94" s="3" t="s">
        <v>39</v>
      </c>
      <c r="C94" s="3" t="s">
        <v>40</v>
      </c>
      <c r="D94" s="3" t="s">
        <v>40</v>
      </c>
      <c r="E94" s="3" t="s">
        <v>15</v>
      </c>
      <c r="F94" s="3" t="s">
        <v>16</v>
      </c>
      <c r="G94" s="3" t="s">
        <v>67</v>
      </c>
      <c r="H94" s="3">
        <v>66123</v>
      </c>
      <c r="I94" s="3">
        <v>1120</v>
      </c>
      <c r="J94" s="3">
        <v>9587.83</v>
      </c>
      <c r="K94" s="3">
        <v>1232</v>
      </c>
      <c r="L94" s="3">
        <v>0.14499999999999999</v>
      </c>
      <c r="M94" s="3">
        <v>1.1000000000000001</v>
      </c>
      <c r="N94" s="3" t="s">
        <v>57</v>
      </c>
      <c r="O94" s="3" t="s">
        <v>58</v>
      </c>
      <c r="P94" s="3" t="s">
        <v>59</v>
      </c>
    </row>
    <row r="95" spans="1:16" ht="71.25">
      <c r="A95" s="3" t="s">
        <v>38</v>
      </c>
      <c r="B95" s="3" t="s">
        <v>39</v>
      </c>
      <c r="C95" s="3" t="s">
        <v>40</v>
      </c>
      <c r="D95" s="3" t="s">
        <v>40</v>
      </c>
      <c r="E95" s="3" t="s">
        <v>15</v>
      </c>
      <c r="F95" s="3" t="s">
        <v>16</v>
      </c>
      <c r="G95" s="3" t="s">
        <v>68</v>
      </c>
      <c r="H95" s="3">
        <v>59283</v>
      </c>
      <c r="I95" s="3">
        <v>2612</v>
      </c>
      <c r="J95" s="3">
        <v>8596.0300000000007</v>
      </c>
      <c r="K95" s="3">
        <v>2873.2</v>
      </c>
      <c r="L95" s="3">
        <v>0.14499999999999999</v>
      </c>
      <c r="M95" s="3">
        <v>1.1000000000000001</v>
      </c>
      <c r="N95" s="3" t="s">
        <v>57</v>
      </c>
      <c r="O95" s="3" t="s">
        <v>58</v>
      </c>
      <c r="P95" s="3" t="s">
        <v>59</v>
      </c>
    </row>
    <row r="96" spans="1:16" ht="71.25">
      <c r="A96" s="3" t="s">
        <v>38</v>
      </c>
      <c r="B96" s="3" t="s">
        <v>39</v>
      </c>
      <c r="C96" s="3" t="s">
        <v>40</v>
      </c>
      <c r="D96" s="3" t="s">
        <v>40</v>
      </c>
      <c r="E96" s="3" t="s">
        <v>15</v>
      </c>
      <c r="F96" s="3" t="s">
        <v>16</v>
      </c>
      <c r="G96" s="3" t="s">
        <v>69</v>
      </c>
      <c r="H96" s="3">
        <v>55483</v>
      </c>
      <c r="I96" s="3">
        <v>4292</v>
      </c>
      <c r="J96" s="3">
        <v>8045.03</v>
      </c>
      <c r="K96" s="3">
        <v>4721.2</v>
      </c>
      <c r="L96" s="3">
        <v>0.14499999999999999</v>
      </c>
      <c r="M96" s="3">
        <v>1.1000000000000001</v>
      </c>
      <c r="N96" s="3" t="s">
        <v>57</v>
      </c>
      <c r="O96" s="3" t="s">
        <v>58</v>
      </c>
      <c r="P96" s="3" t="s">
        <v>59</v>
      </c>
    </row>
    <row r="97" spans="1:16" ht="71.25">
      <c r="A97" s="3" t="s">
        <v>38</v>
      </c>
      <c r="B97" s="3" t="s">
        <v>39</v>
      </c>
      <c r="C97" s="3" t="s">
        <v>40</v>
      </c>
      <c r="D97" s="3" t="s">
        <v>40</v>
      </c>
      <c r="E97" s="3" t="s">
        <v>15</v>
      </c>
      <c r="F97" s="3" t="s">
        <v>16</v>
      </c>
      <c r="G97" s="3" t="s">
        <v>70</v>
      </c>
      <c r="H97" s="3">
        <v>56243</v>
      </c>
      <c r="I97" s="3">
        <v>5448</v>
      </c>
      <c r="J97" s="3">
        <v>8155.23</v>
      </c>
      <c r="K97" s="3">
        <v>5992.8</v>
      </c>
      <c r="L97" s="3">
        <v>0.14499999999999999</v>
      </c>
      <c r="M97" s="3">
        <v>1.1000000000000001</v>
      </c>
      <c r="N97" s="3" t="s">
        <v>57</v>
      </c>
      <c r="O97" s="3" t="s">
        <v>58</v>
      </c>
      <c r="P97" s="3" t="s">
        <v>59</v>
      </c>
    </row>
    <row r="98" spans="1:16" ht="71.25">
      <c r="A98" s="3" t="s">
        <v>41</v>
      </c>
      <c r="B98" s="3" t="s">
        <v>42</v>
      </c>
      <c r="C98" s="3" t="s">
        <v>13</v>
      </c>
      <c r="D98" s="3" t="s">
        <v>14</v>
      </c>
      <c r="E98" s="3" t="s">
        <v>15</v>
      </c>
      <c r="F98" s="3" t="s">
        <v>16</v>
      </c>
      <c r="G98" s="3" t="s">
        <v>56</v>
      </c>
      <c r="H98" s="3">
        <v>93532</v>
      </c>
      <c r="I98" s="3">
        <v>7836</v>
      </c>
      <c r="J98" s="3">
        <v>13562.14</v>
      </c>
      <c r="K98" s="3">
        <v>8619.6</v>
      </c>
      <c r="L98" s="3">
        <v>0.14499999999999999</v>
      </c>
      <c r="M98" s="3">
        <v>1.1000000000000001</v>
      </c>
      <c r="N98" s="3" t="s">
        <v>57</v>
      </c>
      <c r="O98" s="3" t="s">
        <v>58</v>
      </c>
      <c r="P98" s="3" t="s">
        <v>59</v>
      </c>
    </row>
    <row r="99" spans="1:16" ht="71.25">
      <c r="A99" s="3" t="s">
        <v>41</v>
      </c>
      <c r="B99" s="3" t="s">
        <v>42</v>
      </c>
      <c r="C99" s="3" t="s">
        <v>13</v>
      </c>
      <c r="D99" s="3" t="s">
        <v>14</v>
      </c>
      <c r="E99" s="3" t="s">
        <v>15</v>
      </c>
      <c r="F99" s="3" t="s">
        <v>16</v>
      </c>
      <c r="G99" s="3" t="s">
        <v>60</v>
      </c>
      <c r="H99" s="3">
        <v>86517</v>
      </c>
      <c r="I99" s="3">
        <v>6566</v>
      </c>
      <c r="J99" s="3">
        <v>12544.96</v>
      </c>
      <c r="K99" s="3">
        <v>7222.6</v>
      </c>
      <c r="L99" s="3">
        <v>0.14499999999999999</v>
      </c>
      <c r="M99" s="3">
        <v>1.1000000000000001</v>
      </c>
      <c r="N99" s="3" t="s">
        <v>57</v>
      </c>
      <c r="O99" s="3" t="s">
        <v>58</v>
      </c>
      <c r="P99" s="3" t="s">
        <v>59</v>
      </c>
    </row>
    <row r="100" spans="1:16" ht="71.25">
      <c r="A100" s="3" t="s">
        <v>41</v>
      </c>
      <c r="B100" s="3" t="s">
        <v>42</v>
      </c>
      <c r="C100" s="3" t="s">
        <v>13</v>
      </c>
      <c r="D100" s="3" t="s">
        <v>14</v>
      </c>
      <c r="E100" s="3" t="s">
        <v>15</v>
      </c>
      <c r="F100" s="3" t="s">
        <v>16</v>
      </c>
      <c r="G100" s="3" t="s">
        <v>61</v>
      </c>
      <c r="H100" s="3">
        <v>87686</v>
      </c>
      <c r="I100" s="3">
        <v>5507</v>
      </c>
      <c r="J100" s="3">
        <v>12714.47</v>
      </c>
      <c r="K100" s="3">
        <v>6057.7</v>
      </c>
      <c r="L100" s="3">
        <v>0.14499999999999999</v>
      </c>
      <c r="M100" s="3">
        <v>1.1000000000000001</v>
      </c>
      <c r="N100" s="3" t="s">
        <v>57</v>
      </c>
      <c r="O100" s="3" t="s">
        <v>58</v>
      </c>
      <c r="P100" s="3" t="s">
        <v>59</v>
      </c>
    </row>
    <row r="101" spans="1:16" ht="71.25">
      <c r="A101" s="3" t="s">
        <v>41</v>
      </c>
      <c r="B101" s="3" t="s">
        <v>42</v>
      </c>
      <c r="C101" s="3" t="s">
        <v>13</v>
      </c>
      <c r="D101" s="3" t="s">
        <v>14</v>
      </c>
      <c r="E101" s="3" t="s">
        <v>15</v>
      </c>
      <c r="F101" s="3" t="s">
        <v>16</v>
      </c>
      <c r="G101" s="3" t="s">
        <v>62</v>
      </c>
      <c r="H101" s="3">
        <v>87686</v>
      </c>
      <c r="I101" s="3">
        <v>3389</v>
      </c>
      <c r="J101" s="3">
        <v>12714.47</v>
      </c>
      <c r="K101" s="3">
        <v>3727.9</v>
      </c>
      <c r="L101" s="3">
        <v>0.14499999999999999</v>
      </c>
      <c r="M101" s="3">
        <v>1.1000000000000001</v>
      </c>
      <c r="N101" s="3" t="s">
        <v>57</v>
      </c>
      <c r="O101" s="3" t="s">
        <v>58</v>
      </c>
      <c r="P101" s="3" t="s">
        <v>59</v>
      </c>
    </row>
    <row r="102" spans="1:16" ht="71.25">
      <c r="A102" s="3" t="s">
        <v>41</v>
      </c>
      <c r="B102" s="3" t="s">
        <v>42</v>
      </c>
      <c r="C102" s="3" t="s">
        <v>13</v>
      </c>
      <c r="D102" s="3" t="s">
        <v>14</v>
      </c>
      <c r="E102" s="3" t="s">
        <v>15</v>
      </c>
      <c r="F102" s="3" t="s">
        <v>16</v>
      </c>
      <c r="G102" s="3" t="s">
        <v>63</v>
      </c>
      <c r="H102" s="3">
        <v>95870</v>
      </c>
      <c r="I102" s="3">
        <v>1906</v>
      </c>
      <c r="J102" s="3">
        <v>13901.15</v>
      </c>
      <c r="K102" s="3">
        <v>2096.6</v>
      </c>
      <c r="L102" s="3">
        <v>0.14499999999999999</v>
      </c>
      <c r="M102" s="3">
        <v>1.1000000000000001</v>
      </c>
      <c r="N102" s="3" t="s">
        <v>57</v>
      </c>
      <c r="O102" s="3" t="s">
        <v>58</v>
      </c>
      <c r="P102" s="3" t="s">
        <v>59</v>
      </c>
    </row>
    <row r="103" spans="1:16" ht="71.25">
      <c r="A103" s="3" t="s">
        <v>41</v>
      </c>
      <c r="B103" s="3" t="s">
        <v>42</v>
      </c>
      <c r="C103" s="3" t="s">
        <v>13</v>
      </c>
      <c r="D103" s="3" t="s">
        <v>14</v>
      </c>
      <c r="E103" s="3" t="s">
        <v>15</v>
      </c>
      <c r="F103" s="3" t="s">
        <v>16</v>
      </c>
      <c r="G103" s="3" t="s">
        <v>64</v>
      </c>
      <c r="H103" s="3">
        <v>107561</v>
      </c>
      <c r="I103" s="3">
        <v>847</v>
      </c>
      <c r="J103" s="3">
        <v>15596.34</v>
      </c>
      <c r="K103" s="3">
        <v>931.7</v>
      </c>
      <c r="L103" s="3">
        <v>0.14499999999999999</v>
      </c>
      <c r="M103" s="3">
        <v>1.1000000000000001</v>
      </c>
      <c r="N103" s="3" t="s">
        <v>57</v>
      </c>
      <c r="O103" s="3" t="s">
        <v>58</v>
      </c>
      <c r="P103" s="3" t="s">
        <v>59</v>
      </c>
    </row>
    <row r="104" spans="1:16" ht="71.25">
      <c r="A104" s="3" t="s">
        <v>41</v>
      </c>
      <c r="B104" s="3" t="s">
        <v>42</v>
      </c>
      <c r="C104" s="3" t="s">
        <v>13</v>
      </c>
      <c r="D104" s="3" t="s">
        <v>14</v>
      </c>
      <c r="E104" s="3" t="s">
        <v>15</v>
      </c>
      <c r="F104" s="3" t="s">
        <v>16</v>
      </c>
      <c r="G104" s="3" t="s">
        <v>65</v>
      </c>
      <c r="H104" s="3">
        <v>122760</v>
      </c>
      <c r="I104" s="3">
        <v>508</v>
      </c>
      <c r="J104" s="3">
        <v>17800.2</v>
      </c>
      <c r="K104" s="3">
        <v>558.79999999999995</v>
      </c>
      <c r="L104" s="3">
        <v>0.14499999999999999</v>
      </c>
      <c r="M104" s="3">
        <v>1.1000000000000001</v>
      </c>
      <c r="N104" s="3" t="s">
        <v>57</v>
      </c>
      <c r="O104" s="3" t="s">
        <v>58</v>
      </c>
      <c r="P104" s="3" t="s">
        <v>59</v>
      </c>
    </row>
    <row r="105" spans="1:16" ht="71.25">
      <c r="A105" s="3" t="s">
        <v>41</v>
      </c>
      <c r="B105" s="3" t="s">
        <v>42</v>
      </c>
      <c r="C105" s="3" t="s">
        <v>13</v>
      </c>
      <c r="D105" s="3" t="s">
        <v>14</v>
      </c>
      <c r="E105" s="3" t="s">
        <v>15</v>
      </c>
      <c r="F105" s="3" t="s">
        <v>16</v>
      </c>
      <c r="G105" s="3" t="s">
        <v>66</v>
      </c>
      <c r="H105" s="3">
        <v>122760</v>
      </c>
      <c r="I105" s="3">
        <v>508</v>
      </c>
      <c r="J105" s="3">
        <v>17800.2</v>
      </c>
      <c r="K105" s="3">
        <v>558.79999999999995</v>
      </c>
      <c r="L105" s="3">
        <v>0.14499999999999999</v>
      </c>
      <c r="M105" s="3">
        <v>1.1000000000000001</v>
      </c>
      <c r="N105" s="3" t="s">
        <v>57</v>
      </c>
      <c r="O105" s="3" t="s">
        <v>58</v>
      </c>
      <c r="P105" s="3" t="s">
        <v>59</v>
      </c>
    </row>
    <row r="106" spans="1:16" ht="71.25">
      <c r="A106" s="3" t="s">
        <v>41</v>
      </c>
      <c r="B106" s="3" t="s">
        <v>42</v>
      </c>
      <c r="C106" s="3" t="s">
        <v>13</v>
      </c>
      <c r="D106" s="3" t="s">
        <v>14</v>
      </c>
      <c r="E106" s="3" t="s">
        <v>15</v>
      </c>
      <c r="F106" s="3" t="s">
        <v>16</v>
      </c>
      <c r="G106" s="3" t="s">
        <v>67</v>
      </c>
      <c r="H106" s="3">
        <v>101716</v>
      </c>
      <c r="I106" s="3">
        <v>1271</v>
      </c>
      <c r="J106" s="3">
        <v>14748.82</v>
      </c>
      <c r="K106" s="3">
        <v>1398.1</v>
      </c>
      <c r="L106" s="3">
        <v>0.14499999999999999</v>
      </c>
      <c r="M106" s="3">
        <v>1.1000000000000001</v>
      </c>
      <c r="N106" s="3" t="s">
        <v>57</v>
      </c>
      <c r="O106" s="3" t="s">
        <v>58</v>
      </c>
      <c r="P106" s="3" t="s">
        <v>59</v>
      </c>
    </row>
    <row r="107" spans="1:16" ht="71.25">
      <c r="A107" s="3" t="s">
        <v>41</v>
      </c>
      <c r="B107" s="3" t="s">
        <v>42</v>
      </c>
      <c r="C107" s="3" t="s">
        <v>13</v>
      </c>
      <c r="D107" s="3" t="s">
        <v>14</v>
      </c>
      <c r="E107" s="3" t="s">
        <v>15</v>
      </c>
      <c r="F107" s="3" t="s">
        <v>16</v>
      </c>
      <c r="G107" s="3" t="s">
        <v>68</v>
      </c>
      <c r="H107" s="3">
        <v>91193</v>
      </c>
      <c r="I107" s="3">
        <v>2965</v>
      </c>
      <c r="J107" s="3">
        <v>13222.98</v>
      </c>
      <c r="K107" s="3">
        <v>3261.5</v>
      </c>
      <c r="L107" s="3">
        <v>0.14499999999999999</v>
      </c>
      <c r="M107" s="3">
        <v>1.1000000000000001</v>
      </c>
      <c r="N107" s="3" t="s">
        <v>57</v>
      </c>
      <c r="O107" s="3" t="s">
        <v>58</v>
      </c>
      <c r="P107" s="3" t="s">
        <v>59</v>
      </c>
    </row>
    <row r="108" spans="1:16" ht="71.25">
      <c r="A108" s="3" t="s">
        <v>41</v>
      </c>
      <c r="B108" s="3" t="s">
        <v>42</v>
      </c>
      <c r="C108" s="3" t="s">
        <v>13</v>
      </c>
      <c r="D108" s="3" t="s">
        <v>14</v>
      </c>
      <c r="E108" s="3" t="s">
        <v>15</v>
      </c>
      <c r="F108" s="3" t="s">
        <v>16</v>
      </c>
      <c r="G108" s="3" t="s">
        <v>69</v>
      </c>
      <c r="H108" s="3">
        <v>85348</v>
      </c>
      <c r="I108" s="3">
        <v>4871</v>
      </c>
      <c r="J108" s="3">
        <v>12375.46</v>
      </c>
      <c r="K108" s="3">
        <v>5358.1</v>
      </c>
      <c r="L108" s="3">
        <v>0.14499999999999999</v>
      </c>
      <c r="M108" s="3">
        <v>1.1000000000000001</v>
      </c>
      <c r="N108" s="3" t="s">
        <v>57</v>
      </c>
      <c r="O108" s="3" t="s">
        <v>58</v>
      </c>
      <c r="P108" s="3" t="s">
        <v>59</v>
      </c>
    </row>
    <row r="109" spans="1:16" ht="71.25">
      <c r="A109" s="3" t="s">
        <v>41</v>
      </c>
      <c r="B109" s="3" t="s">
        <v>42</v>
      </c>
      <c r="C109" s="3" t="s">
        <v>13</v>
      </c>
      <c r="D109" s="3" t="s">
        <v>14</v>
      </c>
      <c r="E109" s="3" t="s">
        <v>15</v>
      </c>
      <c r="F109" s="3" t="s">
        <v>16</v>
      </c>
      <c r="G109" s="3" t="s">
        <v>70</v>
      </c>
      <c r="H109" s="3">
        <v>86517</v>
      </c>
      <c r="I109" s="3">
        <v>6184</v>
      </c>
      <c r="J109" s="3">
        <v>12544.96</v>
      </c>
      <c r="K109" s="3">
        <v>6802.4</v>
      </c>
      <c r="L109" s="3">
        <v>0.14499999999999999</v>
      </c>
      <c r="M109" s="3">
        <v>1.1000000000000001</v>
      </c>
      <c r="N109" s="3" t="s">
        <v>57</v>
      </c>
      <c r="O109" s="3" t="s">
        <v>58</v>
      </c>
      <c r="P109" s="3" t="s">
        <v>59</v>
      </c>
    </row>
    <row r="110" spans="1:16" ht="71.25">
      <c r="A110" s="3" t="s">
        <v>43</v>
      </c>
      <c r="B110" s="3" t="s">
        <v>44</v>
      </c>
      <c r="C110" s="3" t="s">
        <v>45</v>
      </c>
      <c r="D110" s="3" t="s">
        <v>45</v>
      </c>
      <c r="E110" s="3" t="s">
        <v>15</v>
      </c>
      <c r="F110" s="3" t="s">
        <v>16</v>
      </c>
      <c r="G110" s="3" t="s">
        <v>56</v>
      </c>
      <c r="H110" s="3">
        <v>89668</v>
      </c>
      <c r="I110" s="3">
        <v>11543</v>
      </c>
      <c r="J110" s="3">
        <v>13001.86</v>
      </c>
      <c r="K110" s="3">
        <v>12697.3</v>
      </c>
      <c r="L110" s="3">
        <v>0.14499999999999999</v>
      </c>
      <c r="M110" s="3">
        <v>1.1000000000000001</v>
      </c>
      <c r="N110" s="3" t="s">
        <v>57</v>
      </c>
      <c r="O110" s="3" t="s">
        <v>58</v>
      </c>
      <c r="P110" s="3" t="s">
        <v>59</v>
      </c>
    </row>
    <row r="111" spans="1:16" ht="71.25">
      <c r="A111" s="3" t="s">
        <v>43</v>
      </c>
      <c r="B111" s="3" t="s">
        <v>44</v>
      </c>
      <c r="C111" s="3" t="s">
        <v>45</v>
      </c>
      <c r="D111" s="3" t="s">
        <v>45</v>
      </c>
      <c r="E111" s="3" t="s">
        <v>15</v>
      </c>
      <c r="F111" s="3" t="s">
        <v>16</v>
      </c>
      <c r="G111" s="3" t="s">
        <v>60</v>
      </c>
      <c r="H111" s="3">
        <v>82942</v>
      </c>
      <c r="I111" s="3">
        <v>9672</v>
      </c>
      <c r="J111" s="3">
        <v>12026.59</v>
      </c>
      <c r="K111" s="3">
        <v>10639.2</v>
      </c>
      <c r="L111" s="3">
        <v>0.14499999999999999</v>
      </c>
      <c r="M111" s="3">
        <v>1.1000000000000001</v>
      </c>
      <c r="N111" s="3" t="s">
        <v>57</v>
      </c>
      <c r="O111" s="3" t="s">
        <v>58</v>
      </c>
      <c r="P111" s="3" t="s">
        <v>59</v>
      </c>
    </row>
    <row r="112" spans="1:16" ht="71.25">
      <c r="A112" s="3" t="s">
        <v>43</v>
      </c>
      <c r="B112" s="3" t="s">
        <v>44</v>
      </c>
      <c r="C112" s="3" t="s">
        <v>45</v>
      </c>
      <c r="D112" s="3" t="s">
        <v>45</v>
      </c>
      <c r="E112" s="3" t="s">
        <v>15</v>
      </c>
      <c r="F112" s="3" t="s">
        <v>16</v>
      </c>
      <c r="G112" s="3" t="s">
        <v>61</v>
      </c>
      <c r="H112" s="3">
        <v>84063</v>
      </c>
      <c r="I112" s="3">
        <v>8112</v>
      </c>
      <c r="J112" s="3">
        <v>12189.13</v>
      </c>
      <c r="K112" s="3">
        <v>8923.2000000000007</v>
      </c>
      <c r="L112" s="3">
        <v>0.14499999999999999</v>
      </c>
      <c r="M112" s="3">
        <v>1.1000000000000001</v>
      </c>
      <c r="N112" s="3" t="s">
        <v>57</v>
      </c>
      <c r="O112" s="3" t="s">
        <v>58</v>
      </c>
      <c r="P112" s="3" t="s">
        <v>59</v>
      </c>
    </row>
    <row r="113" spans="1:16" ht="71.25">
      <c r="A113" s="3" t="s">
        <v>43</v>
      </c>
      <c r="B113" s="3" t="s">
        <v>44</v>
      </c>
      <c r="C113" s="3" t="s">
        <v>45</v>
      </c>
      <c r="D113" s="3" t="s">
        <v>45</v>
      </c>
      <c r="E113" s="3" t="s">
        <v>15</v>
      </c>
      <c r="F113" s="3" t="s">
        <v>16</v>
      </c>
      <c r="G113" s="3" t="s">
        <v>62</v>
      </c>
      <c r="H113" s="3">
        <v>84063</v>
      </c>
      <c r="I113" s="3">
        <v>4992</v>
      </c>
      <c r="J113" s="3">
        <v>12189.13</v>
      </c>
      <c r="K113" s="3">
        <v>5491.2</v>
      </c>
      <c r="L113" s="3">
        <v>0.14499999999999999</v>
      </c>
      <c r="M113" s="3">
        <v>1.1000000000000001</v>
      </c>
      <c r="N113" s="3" t="s">
        <v>57</v>
      </c>
      <c r="O113" s="3" t="s">
        <v>58</v>
      </c>
      <c r="P113" s="3" t="s">
        <v>59</v>
      </c>
    </row>
    <row r="114" spans="1:16" ht="71.25">
      <c r="A114" s="3" t="s">
        <v>43</v>
      </c>
      <c r="B114" s="3" t="s">
        <v>44</v>
      </c>
      <c r="C114" s="3" t="s">
        <v>45</v>
      </c>
      <c r="D114" s="3" t="s">
        <v>45</v>
      </c>
      <c r="E114" s="3" t="s">
        <v>15</v>
      </c>
      <c r="F114" s="3" t="s">
        <v>16</v>
      </c>
      <c r="G114" s="3" t="s">
        <v>63</v>
      </c>
      <c r="H114" s="3">
        <v>91909</v>
      </c>
      <c r="I114" s="3">
        <v>2808</v>
      </c>
      <c r="J114" s="3">
        <v>13326.8</v>
      </c>
      <c r="K114" s="3">
        <v>3088.8</v>
      </c>
      <c r="L114" s="3">
        <v>0.14499999999999999</v>
      </c>
      <c r="M114" s="3">
        <v>1.1000000000000001</v>
      </c>
      <c r="N114" s="3" t="s">
        <v>57</v>
      </c>
      <c r="O114" s="3" t="s">
        <v>58</v>
      </c>
      <c r="P114" s="3" t="s">
        <v>59</v>
      </c>
    </row>
    <row r="115" spans="1:16" ht="71.25">
      <c r="A115" s="3" t="s">
        <v>43</v>
      </c>
      <c r="B115" s="3" t="s">
        <v>44</v>
      </c>
      <c r="C115" s="3" t="s">
        <v>45</v>
      </c>
      <c r="D115" s="3" t="s">
        <v>45</v>
      </c>
      <c r="E115" s="3" t="s">
        <v>15</v>
      </c>
      <c r="F115" s="3" t="s">
        <v>16</v>
      </c>
      <c r="G115" s="3" t="s">
        <v>64</v>
      </c>
      <c r="H115" s="3">
        <v>103118</v>
      </c>
      <c r="I115" s="3">
        <v>1248</v>
      </c>
      <c r="J115" s="3">
        <v>14952.11</v>
      </c>
      <c r="K115" s="3">
        <v>1372.8</v>
      </c>
      <c r="L115" s="3">
        <v>0.14499999999999999</v>
      </c>
      <c r="M115" s="3">
        <v>1.1000000000000001</v>
      </c>
      <c r="N115" s="3" t="s">
        <v>57</v>
      </c>
      <c r="O115" s="3" t="s">
        <v>58</v>
      </c>
      <c r="P115" s="3" t="s">
        <v>59</v>
      </c>
    </row>
    <row r="116" spans="1:16" ht="71.25">
      <c r="A116" s="3" t="s">
        <v>43</v>
      </c>
      <c r="B116" s="3" t="s">
        <v>44</v>
      </c>
      <c r="C116" s="3" t="s">
        <v>45</v>
      </c>
      <c r="D116" s="3" t="s">
        <v>45</v>
      </c>
      <c r="E116" s="3" t="s">
        <v>15</v>
      </c>
      <c r="F116" s="3" t="s">
        <v>16</v>
      </c>
      <c r="G116" s="3" t="s">
        <v>65</v>
      </c>
      <c r="H116" s="3">
        <v>117689</v>
      </c>
      <c r="I116" s="3">
        <v>749</v>
      </c>
      <c r="J116" s="3">
        <v>17064.900000000001</v>
      </c>
      <c r="K116" s="3">
        <v>823.9</v>
      </c>
      <c r="L116" s="3">
        <v>0.14499999999999999</v>
      </c>
      <c r="M116" s="3">
        <v>1.1000000000000001</v>
      </c>
      <c r="N116" s="3" t="s">
        <v>57</v>
      </c>
      <c r="O116" s="3" t="s">
        <v>58</v>
      </c>
      <c r="P116" s="3" t="s">
        <v>59</v>
      </c>
    </row>
    <row r="117" spans="1:16" ht="71.25">
      <c r="A117" s="3" t="s">
        <v>43</v>
      </c>
      <c r="B117" s="3" t="s">
        <v>44</v>
      </c>
      <c r="C117" s="3" t="s">
        <v>45</v>
      </c>
      <c r="D117" s="3" t="s">
        <v>45</v>
      </c>
      <c r="E117" s="3" t="s">
        <v>15</v>
      </c>
      <c r="F117" s="3" t="s">
        <v>16</v>
      </c>
      <c r="G117" s="3" t="s">
        <v>66</v>
      </c>
      <c r="H117" s="3">
        <v>117689</v>
      </c>
      <c r="I117" s="3">
        <v>749</v>
      </c>
      <c r="J117" s="3">
        <v>17064.900000000001</v>
      </c>
      <c r="K117" s="3">
        <v>823.9</v>
      </c>
      <c r="L117" s="3">
        <v>0.14499999999999999</v>
      </c>
      <c r="M117" s="3">
        <v>1.1000000000000001</v>
      </c>
      <c r="N117" s="3" t="s">
        <v>57</v>
      </c>
      <c r="O117" s="3" t="s">
        <v>58</v>
      </c>
      <c r="P117" s="3" t="s">
        <v>59</v>
      </c>
    </row>
    <row r="118" spans="1:16" ht="71.25">
      <c r="A118" s="3" t="s">
        <v>43</v>
      </c>
      <c r="B118" s="3" t="s">
        <v>44</v>
      </c>
      <c r="C118" s="3" t="s">
        <v>45</v>
      </c>
      <c r="D118" s="3" t="s">
        <v>45</v>
      </c>
      <c r="E118" s="3" t="s">
        <v>15</v>
      </c>
      <c r="F118" s="3" t="s">
        <v>16</v>
      </c>
      <c r="G118" s="3" t="s">
        <v>67</v>
      </c>
      <c r="H118" s="3">
        <v>97513</v>
      </c>
      <c r="I118" s="3">
        <v>1872</v>
      </c>
      <c r="J118" s="3">
        <v>14139.38</v>
      </c>
      <c r="K118" s="3">
        <v>2059.1999999999998</v>
      </c>
      <c r="L118" s="3">
        <v>0.14499999999999999</v>
      </c>
      <c r="M118" s="3">
        <v>1.1000000000000001</v>
      </c>
      <c r="N118" s="3" t="s">
        <v>57</v>
      </c>
      <c r="O118" s="3" t="s">
        <v>58</v>
      </c>
      <c r="P118" s="3" t="s">
        <v>59</v>
      </c>
    </row>
    <row r="119" spans="1:16" ht="71.25">
      <c r="A119" s="3" t="s">
        <v>43</v>
      </c>
      <c r="B119" s="3" t="s">
        <v>44</v>
      </c>
      <c r="C119" s="3" t="s">
        <v>45</v>
      </c>
      <c r="D119" s="3" t="s">
        <v>45</v>
      </c>
      <c r="E119" s="3" t="s">
        <v>15</v>
      </c>
      <c r="F119" s="3" t="s">
        <v>16</v>
      </c>
      <c r="G119" s="3" t="s">
        <v>68</v>
      </c>
      <c r="H119" s="3">
        <v>87426</v>
      </c>
      <c r="I119" s="3">
        <v>4368</v>
      </c>
      <c r="J119" s="3">
        <v>12676.77</v>
      </c>
      <c r="K119" s="3">
        <v>4804.8</v>
      </c>
      <c r="L119" s="3">
        <v>0.14499999999999999</v>
      </c>
      <c r="M119" s="3">
        <v>1.1000000000000001</v>
      </c>
      <c r="N119" s="3" t="s">
        <v>57</v>
      </c>
      <c r="O119" s="3" t="s">
        <v>58</v>
      </c>
      <c r="P119" s="3" t="s">
        <v>59</v>
      </c>
    </row>
    <row r="120" spans="1:16" ht="71.25">
      <c r="A120" s="3" t="s">
        <v>43</v>
      </c>
      <c r="B120" s="3" t="s">
        <v>44</v>
      </c>
      <c r="C120" s="3" t="s">
        <v>45</v>
      </c>
      <c r="D120" s="3" t="s">
        <v>45</v>
      </c>
      <c r="E120" s="3" t="s">
        <v>15</v>
      </c>
      <c r="F120" s="3" t="s">
        <v>16</v>
      </c>
      <c r="G120" s="3" t="s">
        <v>69</v>
      </c>
      <c r="H120" s="3">
        <v>81822</v>
      </c>
      <c r="I120" s="3">
        <v>7176</v>
      </c>
      <c r="J120" s="3">
        <v>11864.19</v>
      </c>
      <c r="K120" s="3">
        <v>7893.6</v>
      </c>
      <c r="L120" s="3">
        <v>0.14499999999999999</v>
      </c>
      <c r="M120" s="3">
        <v>1.1000000000000001</v>
      </c>
      <c r="N120" s="3" t="s">
        <v>57</v>
      </c>
      <c r="O120" s="3" t="s">
        <v>58</v>
      </c>
      <c r="P120" s="3" t="s">
        <v>59</v>
      </c>
    </row>
    <row r="121" spans="1:16" ht="71.25">
      <c r="A121" s="3" t="s">
        <v>43</v>
      </c>
      <c r="B121" s="3" t="s">
        <v>44</v>
      </c>
      <c r="C121" s="3" t="s">
        <v>45</v>
      </c>
      <c r="D121" s="3" t="s">
        <v>45</v>
      </c>
      <c r="E121" s="3" t="s">
        <v>15</v>
      </c>
      <c r="F121" s="3" t="s">
        <v>16</v>
      </c>
      <c r="G121" s="3" t="s">
        <v>70</v>
      </c>
      <c r="H121" s="3">
        <v>82942</v>
      </c>
      <c r="I121" s="3">
        <v>9110</v>
      </c>
      <c r="J121" s="3">
        <v>12026.59</v>
      </c>
      <c r="K121" s="3">
        <v>10021</v>
      </c>
      <c r="L121" s="3">
        <v>0.14499999999999999</v>
      </c>
      <c r="M121" s="3">
        <v>1.1000000000000001</v>
      </c>
      <c r="N121" s="3" t="s">
        <v>57</v>
      </c>
      <c r="O121" s="3" t="s">
        <v>58</v>
      </c>
      <c r="P121" s="3" t="s">
        <v>59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11"/>
  <sheetViews>
    <sheetView zoomScale="97" workbookViewId="0">
      <selection activeCell="C21" sqref="C21"/>
    </sheetView>
  </sheetViews>
  <sheetFormatPr defaultRowHeight="14.25"/>
  <cols>
    <col min="1" max="26" width="18" customWidth="1"/>
  </cols>
  <sheetData>
    <row r="1" spans="1:25" ht="30">
      <c r="A1" s="1" t="s">
        <v>0</v>
      </c>
      <c r="B1" s="1" t="s">
        <v>1</v>
      </c>
      <c r="C1" s="1" t="s">
        <v>7</v>
      </c>
      <c r="D1" s="1" t="s">
        <v>8</v>
      </c>
      <c r="E1" s="1" t="s">
        <v>1046</v>
      </c>
      <c r="F1" s="1" t="s">
        <v>1047</v>
      </c>
      <c r="G1" s="1" t="s">
        <v>1048</v>
      </c>
      <c r="H1" s="1" t="s">
        <v>1049</v>
      </c>
      <c r="I1" s="1" t="s">
        <v>1050</v>
      </c>
      <c r="J1" s="1" t="s">
        <v>1051</v>
      </c>
      <c r="K1" s="1" t="s">
        <v>1052</v>
      </c>
      <c r="L1" s="1" t="s">
        <v>1053</v>
      </c>
      <c r="M1" s="1" t="s">
        <v>1054</v>
      </c>
      <c r="N1" s="1" t="s">
        <v>1055</v>
      </c>
      <c r="O1" s="1" t="s">
        <v>1056</v>
      </c>
      <c r="P1" s="1" t="s">
        <v>1057</v>
      </c>
      <c r="Q1" s="1" t="s">
        <v>1058</v>
      </c>
      <c r="R1" s="1" t="s">
        <v>1059</v>
      </c>
      <c r="S1" s="1" t="s">
        <v>1060</v>
      </c>
      <c r="T1" s="1" t="s">
        <v>1061</v>
      </c>
      <c r="U1" s="1" t="s">
        <v>1062</v>
      </c>
      <c r="V1" s="1" t="s">
        <v>1063</v>
      </c>
      <c r="W1" t="s">
        <v>1066</v>
      </c>
      <c r="X1" t="s">
        <v>1067</v>
      </c>
      <c r="Y1" t="s">
        <v>1068</v>
      </c>
    </row>
    <row r="2" spans="1:25" ht="28.5">
      <c r="A2" s="3" t="s">
        <v>11</v>
      </c>
      <c r="B2" s="3" t="str">
        <f>_xlfn.XLOOKUP(Energy_Summary_Template[[#This Row],[property_id]],Energy_Monthly[property_id],Energy_Monthly[property_name])</f>
        <v>Riverbend Apartments</v>
      </c>
      <c r="C2" s="3">
        <f>_xlfn.XLOOKUP(A2,'01_input_asset_master'!A$2:A$11,'01_input_asset_master'!H$2:H$11)</f>
        <v>165000</v>
      </c>
      <c r="D2" s="3">
        <f>_xlfn.XLOOKUP(A2,'01_input_asset_master'!A$2:A$11,'01_input_asset_master'!I$2:I$11)</f>
        <v>180</v>
      </c>
      <c r="E2" s="3">
        <f>SUMIFS('02_input_energy_monthly'!H:H,'02_input_energy_monthly'!A:A,A2)</f>
        <v>1131188</v>
      </c>
      <c r="F2" s="3">
        <f>SUMIFS('02_input_energy_monthly'!I:I,'02_input_energy_monthly'!A:A,A2)</f>
        <v>56939</v>
      </c>
      <c r="G2" s="3">
        <f>SUMIFS('02_input_energy_monthly'!J:J,'02_input_energy_monthly'!A:A,A2)</f>
        <v>164022.23000000004</v>
      </c>
      <c r="H2" s="3">
        <f>SUMIFS('02_input_energy_monthly'!K:K,'02_input_energy_monthly'!A:A,A2)</f>
        <v>62632.900000000009</v>
      </c>
      <c r="I2" s="3">
        <f>Energy_Summary_Template[[#This Row],[annual_gas_cost_usd]]+Energy_Summary_Template[[#This Row],[annual_electricity_cost_usd]]</f>
        <v>226655.13000000006</v>
      </c>
      <c r="J2" s="3">
        <f t="shared" ref="J2:J11" si="0">E2*3.412</f>
        <v>3859613.4559999998</v>
      </c>
      <c r="K2" s="3">
        <f t="shared" ref="K2:K11" si="1">F2*100</f>
        <v>5693900</v>
      </c>
      <c r="L2" s="3">
        <f>Energy_Summary_Template[[#This Row],[electricity_kbtu]]+Energy_Summary_Template[[#This Row],[natural_gas_kbtu]]</f>
        <v>9553513.4560000002</v>
      </c>
      <c r="M2" s="3">
        <f t="shared" ref="M2:M11" si="2">L2/C2</f>
        <v>57.90008155151515</v>
      </c>
      <c r="N2" s="3">
        <f t="shared" ref="N2:N11" si="3">E2/C2</f>
        <v>6.8556848484848487</v>
      </c>
      <c r="O2" s="3">
        <f>F2/C2</f>
        <v>0.34508484848484849</v>
      </c>
      <c r="P2" s="3">
        <f t="shared" ref="P2:P11" si="4">I2/D2</f>
        <v>1259.1951666666671</v>
      </c>
      <c r="Q2" s="3">
        <f t="shared" ref="Q2:Q11" si="5">I2/C2</f>
        <v>1.373667454545455</v>
      </c>
      <c r="R2" s="3">
        <f>COUNTIFS('02_input_energy_monthly'!A:A,A2,'02_input_energy_monthly'!H:H,"&gt;0")+COUNTIFS('02_input_energy_monthly'!A:A,A2,'02_input_energy_monthly'!H:H,0,'02_input_energy_monthly'!I:I,"&gt;0")</f>
        <v>12</v>
      </c>
      <c r="S2" s="7">
        <f t="shared" ref="S2:S11" si="6">R2/12</f>
        <v>1</v>
      </c>
      <c r="T2" s="3">
        <f t="shared" ref="T2:T11" si="7">59.6</f>
        <v>59.6</v>
      </c>
      <c r="U2" s="3">
        <f t="shared" ref="U2:U11" si="8">M2-T2</f>
        <v>-1.6999184484848513</v>
      </c>
      <c r="V2" s="3" t="str">
        <f t="shared" ref="V2:V11" si="9">IF(M2&gt;70,"High Energy Use",IF(M2&gt;59.6,"Above Benchmark","At/Below Benchmark"))</f>
        <v>At/Below Benchmark</v>
      </c>
      <c r="W2" t="str">
        <f t="shared" ref="W2:W11" si="10">IF(S2&gt;=0.95,"Good",IF(S2&gt;=0.75,"Needs Review","Weak"))</f>
        <v>Good</v>
      </c>
      <c r="X2">
        <f t="shared" ref="X2:X11" si="11">_xlfn.RANK.EQ(M2,$M$2:$M$11,0)</f>
        <v>5</v>
      </c>
      <c r="Y2" s="3" t="str">
        <f t="shared" ref="Y2:Y11" si="12">IF(M2&gt;65,"Energy audit + heating system review",
IF(M2&gt;59.6,"Monitor + targeted efficiency upgrades",
"Maintain performance"))</f>
        <v>Maintain performance</v>
      </c>
    </row>
    <row r="3" spans="1:25" ht="42.75">
      <c r="A3" s="3" t="s">
        <v>17</v>
      </c>
      <c r="B3" s="3" t="str">
        <f>_xlfn.XLOOKUP(Energy_Summary_Template[[#This Row],[property_id]],Energy_Monthly[property_id],Energy_Monthly[property_name])</f>
        <v>Lakeview Terrace</v>
      </c>
      <c r="C3" s="3">
        <f>_xlfn.XLOOKUP(A3,'01_input_asset_master'!A$2:A$11,'01_input_asset_master'!H$2:H$11)</f>
        <v>220000</v>
      </c>
      <c r="D3" s="3">
        <f>_xlfn.XLOOKUP(A3,'01_input_asset_master'!A$2:A$11,'01_input_asset_master'!I$2:I$11)</f>
        <v>240</v>
      </c>
      <c r="E3" s="3">
        <f>SUMIFS('02_input_energy_monthly'!H:H,'02_input_energy_monthly'!A:A,A3)</f>
        <v>1622015</v>
      </c>
      <c r="F3" s="3">
        <f>SUMIFS('02_input_energy_monthly'!I:I,'02_input_energy_monthly'!A:A,A3)</f>
        <v>90298</v>
      </c>
      <c r="G3" s="3">
        <f>SUMIFS('02_input_energy_monthly'!J:J,'02_input_energy_monthly'!A:A,A3)</f>
        <v>235192.16</v>
      </c>
      <c r="H3" s="3">
        <f>SUMIFS('02_input_energy_monthly'!K:K,'02_input_energy_monthly'!A:A,A3)</f>
        <v>99327.8</v>
      </c>
      <c r="I3" s="3">
        <f>Energy_Summary_Template[[#This Row],[annual_gas_cost_usd]]+Energy_Summary_Template[[#This Row],[annual_electricity_cost_usd]]</f>
        <v>334519.96000000002</v>
      </c>
      <c r="J3" s="3">
        <f t="shared" si="0"/>
        <v>5534315.1799999997</v>
      </c>
      <c r="K3" s="3">
        <f t="shared" si="1"/>
        <v>9029800</v>
      </c>
      <c r="L3" s="3">
        <f>Energy_Summary_Template[[#This Row],[electricity_kbtu]]+Energy_Summary_Template[[#This Row],[natural_gas_kbtu]]</f>
        <v>14564115.18</v>
      </c>
      <c r="M3" s="3">
        <f t="shared" si="2"/>
        <v>66.200523545454544</v>
      </c>
      <c r="N3" s="3">
        <f t="shared" si="3"/>
        <v>7.3727954545454546</v>
      </c>
      <c r="O3" s="3">
        <f t="shared" ref="O3:O11" si="13">F3/C3</f>
        <v>0.41044545454545456</v>
      </c>
      <c r="P3" s="3">
        <f t="shared" si="4"/>
        <v>1393.8331666666668</v>
      </c>
      <c r="Q3" s="3">
        <f t="shared" si="5"/>
        <v>1.5205452727272728</v>
      </c>
      <c r="R3" s="3">
        <f>COUNTIFS('02_input_energy_monthly'!A:A,A3,'02_input_energy_monthly'!H:H,"&gt;0")+COUNTIFS('02_input_energy_monthly'!A:A,A3,'02_input_energy_monthly'!H:H,0,'02_input_energy_monthly'!I:I,"&gt;0")</f>
        <v>12</v>
      </c>
      <c r="S3" s="7">
        <f t="shared" si="6"/>
        <v>1</v>
      </c>
      <c r="T3" s="3">
        <f t="shared" si="7"/>
        <v>59.6</v>
      </c>
      <c r="U3" s="3">
        <f t="shared" si="8"/>
        <v>6.6005235454545428</v>
      </c>
      <c r="V3" s="3" t="str">
        <f t="shared" si="9"/>
        <v>Above Benchmark</v>
      </c>
      <c r="W3" t="str">
        <f t="shared" si="10"/>
        <v>Good</v>
      </c>
      <c r="X3">
        <f t="shared" si="11"/>
        <v>2</v>
      </c>
      <c r="Y3" s="3" t="str">
        <f t="shared" si="12"/>
        <v>Energy audit + heating system review</v>
      </c>
    </row>
    <row r="4" spans="1:25" ht="28.5">
      <c r="A4" s="3" t="s">
        <v>20</v>
      </c>
      <c r="B4" s="3" t="str">
        <f>_xlfn.XLOOKUP(Energy_Summary_Template[[#This Row],[property_id]],Energy_Monthly[property_id],Energy_Monthly[property_name])</f>
        <v>Northside Commons</v>
      </c>
      <c r="C4" s="3">
        <f>_xlfn.XLOOKUP(A4,'01_input_asset_master'!A$2:A$11,'01_input_asset_master'!H$2:H$11)</f>
        <v>145000</v>
      </c>
      <c r="D4" s="3">
        <f>_xlfn.XLOOKUP(A4,'01_input_asset_master'!A$2:A$11,'01_input_asset_master'!I$2:I$11)</f>
        <v>160</v>
      </c>
      <c r="E4" s="3">
        <f>SUMIFS('02_input_energy_monthly'!H:H,'02_input_energy_monthly'!A:A,A4)</f>
        <v>980726</v>
      </c>
      <c r="F4" s="3">
        <f>SUMIFS('02_input_energy_monthly'!I:I,'02_input_energy_monthly'!A:A,A4)</f>
        <v>45270</v>
      </c>
      <c r="G4" s="3">
        <f>SUMIFS('02_input_energy_monthly'!J:J,'02_input_energy_monthly'!A:A,A4)</f>
        <v>142205.25000000003</v>
      </c>
      <c r="H4" s="3">
        <f>SUMIFS('02_input_energy_monthly'!K:K,'02_input_energy_monthly'!A:A,A4)</f>
        <v>49797</v>
      </c>
      <c r="I4" s="3">
        <f>Energy_Summary_Template[[#This Row],[annual_gas_cost_usd]]+Energy_Summary_Template[[#This Row],[annual_electricity_cost_usd]]</f>
        <v>192002.25000000003</v>
      </c>
      <c r="J4" s="3">
        <f t="shared" si="0"/>
        <v>3346237.1119999997</v>
      </c>
      <c r="K4" s="3">
        <f t="shared" si="1"/>
        <v>4527000</v>
      </c>
      <c r="L4" s="3">
        <f>Energy_Summary_Template[[#This Row],[electricity_kbtu]]+Energy_Summary_Template[[#This Row],[natural_gas_kbtu]]</f>
        <v>7873237.1119999997</v>
      </c>
      <c r="M4" s="3">
        <f t="shared" si="2"/>
        <v>54.298186979310344</v>
      </c>
      <c r="N4" s="3">
        <f t="shared" si="3"/>
        <v>6.7636275862068969</v>
      </c>
      <c r="O4" s="3">
        <f t="shared" si="13"/>
        <v>0.31220689655172412</v>
      </c>
      <c r="P4" s="3">
        <f t="shared" si="4"/>
        <v>1200.0140625000001</v>
      </c>
      <c r="Q4" s="3">
        <f t="shared" si="5"/>
        <v>1.3241534482758623</v>
      </c>
      <c r="R4" s="3">
        <f>COUNTIFS('02_input_energy_monthly'!A:A,A4,'02_input_energy_monthly'!H:H,"&gt;0")+COUNTIFS('02_input_energy_monthly'!A:A,A4,'02_input_energy_monthly'!H:H,0,'02_input_energy_monthly'!I:I,"&gt;0")</f>
        <v>12</v>
      </c>
      <c r="S4" s="7">
        <f t="shared" si="6"/>
        <v>1</v>
      </c>
      <c r="T4" s="3">
        <f t="shared" si="7"/>
        <v>59.6</v>
      </c>
      <c r="U4" s="3">
        <f t="shared" si="8"/>
        <v>-5.3018130206896572</v>
      </c>
      <c r="V4" s="3" t="str">
        <f t="shared" si="9"/>
        <v>At/Below Benchmark</v>
      </c>
      <c r="W4" t="str">
        <f t="shared" si="10"/>
        <v>Good</v>
      </c>
      <c r="X4">
        <f t="shared" si="11"/>
        <v>7</v>
      </c>
      <c r="Y4" s="3" t="str">
        <f t="shared" si="12"/>
        <v>Maintain performance</v>
      </c>
    </row>
    <row r="5" spans="1:25" ht="28.5">
      <c r="A5" s="3" t="s">
        <v>24</v>
      </c>
      <c r="B5" s="3" t="str">
        <f>_xlfn.XLOOKUP(Energy_Summary_Template[[#This Row],[property_id]],Energy_Monthly[property_id],Energy_Monthly[property_name])</f>
        <v>Badger Ridge Homes</v>
      </c>
      <c r="C5" s="3">
        <f>_xlfn.XLOOKUP(A5,'01_input_asset_master'!A$2:A$11,'01_input_asset_master'!H$2:H$11)</f>
        <v>120000</v>
      </c>
      <c r="D5" s="3">
        <f>_xlfn.XLOOKUP(A5,'01_input_asset_master'!A$2:A$11,'01_input_asset_master'!I$2:I$11)</f>
        <v>130</v>
      </c>
      <c r="E5" s="3">
        <f>SUMIFS('02_input_energy_monthly'!H:H,'02_input_energy_monthly'!A:A,A5)</f>
        <v>837617</v>
      </c>
      <c r="F5" s="3">
        <f>SUMIFS('02_input_energy_monthly'!I:I,'02_input_energy_monthly'!A:A,A5)</f>
        <v>45461</v>
      </c>
      <c r="G5" s="3">
        <f>SUMIFS('02_input_energy_monthly'!J:J,'02_input_energy_monthly'!A:A,A5)</f>
        <v>121454.46000000002</v>
      </c>
      <c r="H5" s="3">
        <f>SUMIFS('02_input_energy_monthly'!K:K,'02_input_energy_monthly'!A:A,A5)</f>
        <v>50007.099999999991</v>
      </c>
      <c r="I5" s="3">
        <f>Energy_Summary_Template[[#This Row],[annual_gas_cost_usd]]+Energy_Summary_Template[[#This Row],[annual_electricity_cost_usd]]</f>
        <v>171461.56</v>
      </c>
      <c r="J5" s="3">
        <f t="shared" si="0"/>
        <v>2857949.2039999999</v>
      </c>
      <c r="K5" s="3">
        <f t="shared" si="1"/>
        <v>4546100</v>
      </c>
      <c r="L5" s="3">
        <f>Energy_Summary_Template[[#This Row],[electricity_kbtu]]+Energy_Summary_Template[[#This Row],[natural_gas_kbtu]]</f>
        <v>7404049.2039999999</v>
      </c>
      <c r="M5" s="3">
        <f t="shared" si="2"/>
        <v>61.700410033333334</v>
      </c>
      <c r="N5" s="3">
        <f t="shared" si="3"/>
        <v>6.9801416666666665</v>
      </c>
      <c r="O5" s="3">
        <f t="shared" si="13"/>
        <v>0.37884166666666669</v>
      </c>
      <c r="P5" s="3">
        <f t="shared" si="4"/>
        <v>1318.9350769230768</v>
      </c>
      <c r="Q5" s="3">
        <f t="shared" si="5"/>
        <v>1.4288463333333332</v>
      </c>
      <c r="R5" s="3">
        <f>COUNTIFS('02_input_energy_monthly'!A:A,A5,'02_input_energy_monthly'!H:H,"&gt;0")+COUNTIFS('02_input_energy_monthly'!A:A,A5,'02_input_energy_monthly'!H:H,0,'02_input_energy_monthly'!I:I,"&gt;0")</f>
        <v>12</v>
      </c>
      <c r="S5" s="7">
        <f t="shared" si="6"/>
        <v>1</v>
      </c>
      <c r="T5" s="3">
        <f t="shared" si="7"/>
        <v>59.6</v>
      </c>
      <c r="U5" s="3">
        <f t="shared" si="8"/>
        <v>2.1004100333333326</v>
      </c>
      <c r="V5" s="3" t="str">
        <f t="shared" si="9"/>
        <v>Above Benchmark</v>
      </c>
      <c r="W5" t="str">
        <f t="shared" si="10"/>
        <v>Good</v>
      </c>
      <c r="X5">
        <f t="shared" si="11"/>
        <v>4</v>
      </c>
      <c r="Y5" s="3" t="str">
        <f t="shared" si="12"/>
        <v>Monitor + targeted efficiency upgrades</v>
      </c>
    </row>
    <row r="6" spans="1:25" ht="28.5">
      <c r="A6" s="3" t="s">
        <v>28</v>
      </c>
      <c r="B6" s="3" t="str">
        <f>_xlfn.XLOOKUP(Energy_Summary_Template[[#This Row],[property_id]],Energy_Monthly[property_id],Energy_Monthly[property_name])</f>
        <v>Oak Street Lofts</v>
      </c>
      <c r="C6" s="3">
        <f>_xlfn.XLOOKUP(A6,'01_input_asset_master'!A$2:A$11,'01_input_asset_master'!H$2:H$11)</f>
        <v>98000</v>
      </c>
      <c r="D6" s="3">
        <f>_xlfn.XLOOKUP(A6,'01_input_asset_master'!A$2:A$11,'01_input_asset_master'!I$2:I$11)</f>
        <v>105</v>
      </c>
      <c r="E6" s="3">
        <f>SUMIFS('02_input_energy_monthly'!H:H,'02_input_energy_monthly'!A:A,A6)</f>
        <v>642364</v>
      </c>
      <c r="F6" s="3">
        <f>SUMIFS('02_input_energy_monthly'!I:I,'02_input_energy_monthly'!A:A,A6)</f>
        <v>25318</v>
      </c>
      <c r="G6" s="3">
        <f>SUMIFS('02_input_energy_monthly'!J:J,'02_input_energy_monthly'!A:A,A6)</f>
        <v>93142.75</v>
      </c>
      <c r="H6" s="3">
        <f>SUMIFS('02_input_energy_monthly'!K:K,'02_input_energy_monthly'!A:A,A6)</f>
        <v>27849.800000000003</v>
      </c>
      <c r="I6" s="3">
        <f>Energy_Summary_Template[[#This Row],[annual_gas_cost_usd]]+Energy_Summary_Template[[#This Row],[annual_electricity_cost_usd]]</f>
        <v>120992.55</v>
      </c>
      <c r="J6" s="3">
        <f t="shared" si="0"/>
        <v>2191745.9679999999</v>
      </c>
      <c r="K6" s="3">
        <f t="shared" si="1"/>
        <v>2531800</v>
      </c>
      <c r="L6" s="3">
        <f>Energy_Summary_Template[[#This Row],[electricity_kbtu]]+Energy_Summary_Template[[#This Row],[natural_gas_kbtu]]</f>
        <v>4723545.9680000003</v>
      </c>
      <c r="M6" s="3">
        <f t="shared" si="2"/>
        <v>48.199448653061225</v>
      </c>
      <c r="N6" s="3">
        <f t="shared" si="3"/>
        <v>6.5547346938775508</v>
      </c>
      <c r="O6" s="3">
        <f t="shared" si="13"/>
        <v>0.25834693877551018</v>
      </c>
      <c r="P6" s="3">
        <f t="shared" si="4"/>
        <v>1152.31</v>
      </c>
      <c r="Q6" s="3">
        <f t="shared" si="5"/>
        <v>1.2346178571428572</v>
      </c>
      <c r="R6" s="3">
        <f>COUNTIFS('02_input_energy_monthly'!A:A,A6,'02_input_energy_monthly'!H:H,"&gt;0")+COUNTIFS('02_input_energy_monthly'!A:A,A6,'02_input_energy_monthly'!H:H,0,'02_input_energy_monthly'!I:I,"&gt;0")</f>
        <v>12</v>
      </c>
      <c r="S6" s="7">
        <f t="shared" si="6"/>
        <v>1</v>
      </c>
      <c r="T6" s="3">
        <f t="shared" si="7"/>
        <v>59.6</v>
      </c>
      <c r="U6" s="3">
        <f t="shared" si="8"/>
        <v>-11.400551346938776</v>
      </c>
      <c r="V6" s="3" t="str">
        <f t="shared" si="9"/>
        <v>At/Below Benchmark</v>
      </c>
      <c r="W6" t="str">
        <f t="shared" si="10"/>
        <v>Good</v>
      </c>
      <c r="X6">
        <f t="shared" si="11"/>
        <v>9</v>
      </c>
      <c r="Y6" s="3" t="str">
        <f t="shared" si="12"/>
        <v>Maintain performance</v>
      </c>
    </row>
    <row r="7" spans="1:25" ht="42.75">
      <c r="A7" s="3" t="s">
        <v>31</v>
      </c>
      <c r="B7" s="3" t="str">
        <f>_xlfn.XLOOKUP(Energy_Summary_Template[[#This Row],[property_id]],Energy_Monthly[property_id],Energy_Monthly[property_name])</f>
        <v>South Park Apartments</v>
      </c>
      <c r="C7" s="3">
        <f>_xlfn.XLOOKUP(A7,'01_input_asset_master'!A$2:A$11,'01_input_asset_master'!H$2:H$11)</f>
        <v>185000</v>
      </c>
      <c r="D7" s="3">
        <f>_xlfn.XLOOKUP(A7,'01_input_asset_master'!A$2:A$11,'01_input_asset_master'!I$2:I$11)</f>
        <v>210</v>
      </c>
      <c r="E7" s="3">
        <f>SUMIFS('02_input_energy_monthly'!H:H,'02_input_energy_monthly'!A:A,A7)</f>
        <v>1394876</v>
      </c>
      <c r="F7" s="3">
        <f>SUMIFS('02_input_energy_monthly'!I:I,'02_input_energy_monthly'!A:A,A7)</f>
        <v>77653</v>
      </c>
      <c r="G7" s="3">
        <f>SUMIFS('02_input_energy_monthly'!J:J,'02_input_energy_monthly'!A:A,A7)</f>
        <v>202257.01</v>
      </c>
      <c r="H7" s="3">
        <f>SUMIFS('02_input_energy_monthly'!K:K,'02_input_energy_monthly'!A:A,A7)</f>
        <v>85418.299999999988</v>
      </c>
      <c r="I7" s="3">
        <f>Energy_Summary_Template[[#This Row],[annual_gas_cost_usd]]+Energy_Summary_Template[[#This Row],[annual_electricity_cost_usd]]</f>
        <v>287675.31</v>
      </c>
      <c r="J7" s="3">
        <f t="shared" si="0"/>
        <v>4759316.9119999995</v>
      </c>
      <c r="K7" s="3">
        <f t="shared" si="1"/>
        <v>7765300</v>
      </c>
      <c r="L7" s="3">
        <f>Energy_Summary_Template[[#This Row],[electricity_kbtu]]+Energy_Summary_Template[[#This Row],[natural_gas_kbtu]]</f>
        <v>12524616.912</v>
      </c>
      <c r="M7" s="3">
        <f t="shared" si="2"/>
        <v>67.700631956756766</v>
      </c>
      <c r="N7" s="3">
        <f t="shared" si="3"/>
        <v>7.5398702702702707</v>
      </c>
      <c r="O7" s="3">
        <f t="shared" si="13"/>
        <v>0.41974594594594594</v>
      </c>
      <c r="P7" s="3">
        <f t="shared" si="4"/>
        <v>1369.8824285714286</v>
      </c>
      <c r="Q7" s="3">
        <f t="shared" si="5"/>
        <v>1.5550016756756757</v>
      </c>
      <c r="R7" s="3">
        <f>COUNTIFS('02_input_energy_monthly'!A:A,A7,'02_input_energy_monthly'!H:H,"&gt;0")+COUNTIFS('02_input_energy_monthly'!A:A,A7,'02_input_energy_monthly'!H:H,0,'02_input_energy_monthly'!I:I,"&gt;0")</f>
        <v>12</v>
      </c>
      <c r="S7" s="7">
        <f t="shared" si="6"/>
        <v>1</v>
      </c>
      <c r="T7" s="3">
        <f t="shared" si="7"/>
        <v>59.6</v>
      </c>
      <c r="U7" s="3">
        <f t="shared" si="8"/>
        <v>8.1006319567567644</v>
      </c>
      <c r="V7" s="3" t="str">
        <f t="shared" si="9"/>
        <v>Above Benchmark</v>
      </c>
      <c r="W7" t="str">
        <f t="shared" si="10"/>
        <v>Good</v>
      </c>
      <c r="X7">
        <f t="shared" si="11"/>
        <v>1</v>
      </c>
      <c r="Y7" s="3" t="str">
        <f t="shared" si="12"/>
        <v>Energy audit + heating system review</v>
      </c>
    </row>
    <row r="8" spans="1:25" ht="28.5">
      <c r="A8" s="3" t="s">
        <v>34</v>
      </c>
      <c r="B8" s="3" t="str">
        <f>_xlfn.XLOOKUP(Energy_Summary_Template[[#This Row],[property_id]],Energy_Monthly[property_id],Energy_Monthly[property_name])</f>
        <v>Fox River Flats</v>
      </c>
      <c r="C8" s="3">
        <f>_xlfn.XLOOKUP(A8,'01_input_asset_master'!A$2:A$11,'01_input_asset_master'!H$2:H$11)</f>
        <v>135000</v>
      </c>
      <c r="D8" s="3">
        <f>_xlfn.XLOOKUP(A8,'01_input_asset_master'!A$2:A$11,'01_input_asset_master'!I$2:I$11)</f>
        <v>150</v>
      </c>
      <c r="E8" s="3">
        <f>SUMIFS('02_input_energy_monthly'!H:H,'02_input_energy_monthly'!A:A,A8)</f>
        <v>907943</v>
      </c>
      <c r="F8" s="3">
        <f>SUMIFS('02_input_energy_monthly'!I:I,'02_input_energy_monthly'!A:A,A8)</f>
        <v>38951</v>
      </c>
      <c r="G8" s="3">
        <f>SUMIFS('02_input_energy_monthly'!J:J,'02_input_energy_monthly'!A:A,A8)</f>
        <v>131651.71000000002</v>
      </c>
      <c r="H8" s="3">
        <f>SUMIFS('02_input_energy_monthly'!K:K,'02_input_energy_monthly'!A:A,A8)</f>
        <v>42846.1</v>
      </c>
      <c r="I8" s="3">
        <f>Energy_Summary_Template[[#This Row],[annual_gas_cost_usd]]+Energy_Summary_Template[[#This Row],[annual_electricity_cost_usd]]</f>
        <v>174497.81000000003</v>
      </c>
      <c r="J8" s="3">
        <f t="shared" si="0"/>
        <v>3097901.5159999998</v>
      </c>
      <c r="K8" s="3">
        <f t="shared" si="1"/>
        <v>3895100</v>
      </c>
      <c r="L8" s="3">
        <f>Energy_Summary_Template[[#This Row],[electricity_kbtu]]+Energy_Summary_Template[[#This Row],[natural_gas_kbtu]]</f>
        <v>6993001.5159999998</v>
      </c>
      <c r="M8" s="3">
        <f t="shared" si="2"/>
        <v>51.800011229629625</v>
      </c>
      <c r="N8" s="3">
        <f t="shared" si="3"/>
        <v>6.725503703703704</v>
      </c>
      <c r="O8" s="3">
        <f t="shared" si="13"/>
        <v>0.28852592592592591</v>
      </c>
      <c r="P8" s="3">
        <f t="shared" si="4"/>
        <v>1163.3187333333335</v>
      </c>
      <c r="Q8" s="3">
        <f t="shared" si="5"/>
        <v>1.2925763703703705</v>
      </c>
      <c r="R8" s="3">
        <f>COUNTIFS('02_input_energy_monthly'!A:A,A8,'02_input_energy_monthly'!H:H,"&gt;0")+COUNTIFS('02_input_energy_monthly'!A:A,A8,'02_input_energy_monthly'!H:H,0,'02_input_energy_monthly'!I:I,"&gt;0")</f>
        <v>12</v>
      </c>
      <c r="S8" s="7">
        <f t="shared" si="6"/>
        <v>1</v>
      </c>
      <c r="T8" s="3">
        <f t="shared" si="7"/>
        <v>59.6</v>
      </c>
      <c r="U8" s="3">
        <f t="shared" si="8"/>
        <v>-7.7999887703703763</v>
      </c>
      <c r="V8" s="3" t="str">
        <f t="shared" si="9"/>
        <v>At/Below Benchmark</v>
      </c>
      <c r="W8" t="str">
        <f t="shared" si="10"/>
        <v>Good</v>
      </c>
      <c r="X8">
        <f t="shared" si="11"/>
        <v>8</v>
      </c>
      <c r="Y8" s="3" t="str">
        <f t="shared" si="12"/>
        <v>Maintain performance</v>
      </c>
    </row>
    <row r="9" spans="1:25" ht="28.5">
      <c r="A9" s="3" t="s">
        <v>38</v>
      </c>
      <c r="B9" s="3" t="str">
        <f>_xlfn.XLOOKUP(Energy_Summary_Template[[#This Row],[property_id]],Energy_Monthly[property_id],Energy_Monthly[property_name])</f>
        <v>Prairie View Residences</v>
      </c>
      <c r="C9" s="3">
        <f>_xlfn.XLOOKUP(A9,'01_input_asset_master'!A$2:A$11,'01_input_asset_master'!H$2:H$11)</f>
        <v>110000</v>
      </c>
      <c r="D9" s="3">
        <f>_xlfn.XLOOKUP(A9,'01_input_asset_master'!A$2:A$11,'01_input_asset_master'!I$2:I$11)</f>
        <v>120</v>
      </c>
      <c r="E9" s="3">
        <f>SUMIFS('02_input_energy_monthly'!H:H,'02_input_energy_monthly'!A:A,A9)</f>
        <v>760039</v>
      </c>
      <c r="F9" s="3">
        <f>SUMIFS('02_input_energy_monthly'!I:I,'02_input_energy_monthly'!A:A,A9)</f>
        <v>37317</v>
      </c>
      <c r="G9" s="3">
        <f>SUMIFS('02_input_energy_monthly'!J:J,'02_input_energy_monthly'!A:A,A9)</f>
        <v>110205.61</v>
      </c>
      <c r="H9" s="3">
        <f>SUMIFS('02_input_energy_monthly'!K:K,'02_input_energy_monthly'!A:A,A9)</f>
        <v>41048.700000000004</v>
      </c>
      <c r="I9" s="3">
        <f>Energy_Summary_Template[[#This Row],[annual_gas_cost_usd]]+Energy_Summary_Template[[#This Row],[annual_electricity_cost_usd]]</f>
        <v>151254.31</v>
      </c>
      <c r="J9" s="3">
        <f t="shared" si="0"/>
        <v>2593253.068</v>
      </c>
      <c r="K9" s="3">
        <f t="shared" si="1"/>
        <v>3731700</v>
      </c>
      <c r="L9" s="3">
        <f>Energy_Summary_Template[[#This Row],[electricity_kbtu]]+Energy_Summary_Template[[#This Row],[natural_gas_kbtu]]</f>
        <v>6324953.068</v>
      </c>
      <c r="M9" s="3">
        <f t="shared" si="2"/>
        <v>57.499573345454543</v>
      </c>
      <c r="N9" s="3">
        <f t="shared" si="3"/>
        <v>6.9094454545454544</v>
      </c>
      <c r="O9" s="3">
        <f t="shared" si="13"/>
        <v>0.33924545454545457</v>
      </c>
      <c r="P9" s="3">
        <f t="shared" si="4"/>
        <v>1260.4525833333332</v>
      </c>
      <c r="Q9" s="3">
        <f t="shared" si="5"/>
        <v>1.3750391818181817</v>
      </c>
      <c r="R9" s="3">
        <f>COUNTIFS('02_input_energy_monthly'!A:A,A9,'02_input_energy_monthly'!H:H,"&gt;0")+COUNTIFS('02_input_energy_monthly'!A:A,A9,'02_input_energy_monthly'!H:H,0,'02_input_energy_monthly'!I:I,"&gt;0")</f>
        <v>12</v>
      </c>
      <c r="S9" s="7">
        <f t="shared" si="6"/>
        <v>1</v>
      </c>
      <c r="T9" s="3">
        <f t="shared" si="7"/>
        <v>59.6</v>
      </c>
      <c r="U9" s="3">
        <f t="shared" si="8"/>
        <v>-2.1004266545454584</v>
      </c>
      <c r="V9" s="3" t="str">
        <f t="shared" si="9"/>
        <v>At/Below Benchmark</v>
      </c>
      <c r="W9" t="str">
        <f t="shared" si="10"/>
        <v>Good</v>
      </c>
      <c r="X9">
        <f t="shared" si="11"/>
        <v>6</v>
      </c>
      <c r="Y9" s="3" t="str">
        <f t="shared" si="12"/>
        <v>Maintain performance</v>
      </c>
    </row>
    <row r="10" spans="1:25" ht="28.5">
      <c r="A10" s="3" t="s">
        <v>41</v>
      </c>
      <c r="B10" s="3" t="str">
        <f>_xlfn.XLOOKUP(Energy_Summary_Template[[#This Row],[property_id]],Energy_Monthly[property_id],Energy_Monthly[property_name])</f>
        <v>Capitol Square Homes</v>
      </c>
      <c r="C10" s="3">
        <f>_xlfn.XLOOKUP(A10,'01_input_asset_master'!A$2:A$11,'01_input_asset_master'!H$2:H$11)</f>
        <v>175000</v>
      </c>
      <c r="D10" s="3">
        <f>_xlfn.XLOOKUP(A10,'01_input_asset_master'!A$2:A$11,'01_input_asset_master'!I$2:I$11)</f>
        <v>190</v>
      </c>
      <c r="E10" s="3">
        <f>SUMIFS('02_input_energy_monthly'!H:H,'02_input_energy_monthly'!A:A,A10)</f>
        <v>1169146</v>
      </c>
      <c r="F10" s="3">
        <f>SUMIFS('02_input_energy_monthly'!I:I,'02_input_energy_monthly'!A:A,A10)</f>
        <v>42358</v>
      </c>
      <c r="G10" s="3">
        <f>SUMIFS('02_input_energy_monthly'!J:J,'02_input_energy_monthly'!A:A,A10)</f>
        <v>169526.15</v>
      </c>
      <c r="H10" s="3">
        <f>SUMIFS('02_input_energy_monthly'!K:K,'02_input_energy_monthly'!A:A,A10)</f>
        <v>46593.8</v>
      </c>
      <c r="I10" s="3">
        <f>Energy_Summary_Template[[#This Row],[annual_gas_cost_usd]]+Energy_Summary_Template[[#This Row],[annual_electricity_cost_usd]]</f>
        <v>216119.95</v>
      </c>
      <c r="J10" s="3">
        <f t="shared" si="0"/>
        <v>3989126.1519999998</v>
      </c>
      <c r="K10" s="3">
        <f t="shared" si="1"/>
        <v>4235800</v>
      </c>
      <c r="L10" s="3">
        <f>Energy_Summary_Template[[#This Row],[electricity_kbtu]]+Energy_Summary_Template[[#This Row],[natural_gas_kbtu]]</f>
        <v>8224926.1519999998</v>
      </c>
      <c r="M10" s="3">
        <f t="shared" si="2"/>
        <v>46.999578011428568</v>
      </c>
      <c r="N10" s="3">
        <f t="shared" si="3"/>
        <v>6.6808342857142859</v>
      </c>
      <c r="O10" s="3">
        <f t="shared" si="13"/>
        <v>0.24204571428571428</v>
      </c>
      <c r="P10" s="3">
        <f t="shared" si="4"/>
        <v>1137.4734210526317</v>
      </c>
      <c r="Q10" s="3">
        <f t="shared" si="5"/>
        <v>1.2349711428571428</v>
      </c>
      <c r="R10" s="3">
        <f>COUNTIFS('02_input_energy_monthly'!A:A,A10,'02_input_energy_monthly'!H:H,"&gt;0")+COUNTIFS('02_input_energy_monthly'!A:A,A10,'02_input_energy_monthly'!H:H,0,'02_input_energy_monthly'!I:I,"&gt;0")</f>
        <v>12</v>
      </c>
      <c r="S10" s="7">
        <f t="shared" si="6"/>
        <v>1</v>
      </c>
      <c r="T10" s="3">
        <f t="shared" si="7"/>
        <v>59.6</v>
      </c>
      <c r="U10" s="3">
        <f t="shared" si="8"/>
        <v>-12.600421988571433</v>
      </c>
      <c r="V10" s="3" t="str">
        <f t="shared" si="9"/>
        <v>At/Below Benchmark</v>
      </c>
      <c r="W10" t="str">
        <f t="shared" si="10"/>
        <v>Good</v>
      </c>
      <c r="X10">
        <f t="shared" si="11"/>
        <v>10</v>
      </c>
      <c r="Y10" s="3" t="str">
        <f t="shared" si="12"/>
        <v>Maintain performance</v>
      </c>
    </row>
    <row r="11" spans="1:25" ht="28.5">
      <c r="A11" s="3" t="s">
        <v>43</v>
      </c>
      <c r="B11" s="3" t="str">
        <f>_xlfn.XLOOKUP(Energy_Summary_Template[[#This Row],[property_id]],Energy_Monthly[property_id],Energy_Monthly[property_name])</f>
        <v>Harbor Point Apartments</v>
      </c>
      <c r="C11" s="3">
        <f>_xlfn.XLOOKUP(A11,'01_input_asset_master'!A$2:A$11,'01_input_asset_master'!H$2:H$11)</f>
        <v>160000</v>
      </c>
      <c r="D11" s="3">
        <f>_xlfn.XLOOKUP(A11,'01_input_asset_master'!A$2:A$11,'01_input_asset_master'!I$2:I$11)</f>
        <v>175</v>
      </c>
      <c r="E11" s="3">
        <f>SUMIFS('02_input_energy_monthly'!H:H,'02_input_energy_monthly'!A:A,A11)</f>
        <v>1120844</v>
      </c>
      <c r="F11" s="3">
        <f>SUMIFS('02_input_energy_monthly'!I:I,'02_input_energy_monthly'!A:A,A11)</f>
        <v>62399</v>
      </c>
      <c r="G11" s="3">
        <f>SUMIFS('02_input_energy_monthly'!J:J,'02_input_energy_monthly'!A:A,A11)</f>
        <v>162522.34999999998</v>
      </c>
      <c r="H11" s="3">
        <f>SUMIFS('02_input_energy_monthly'!K:K,'02_input_energy_monthly'!A:A,A11)</f>
        <v>68638.900000000009</v>
      </c>
      <c r="I11" s="3">
        <f>Energy_Summary_Template[[#This Row],[annual_gas_cost_usd]]+Energy_Summary_Template[[#This Row],[annual_electricity_cost_usd]]</f>
        <v>231161.25</v>
      </c>
      <c r="J11" s="3">
        <f t="shared" si="0"/>
        <v>3824319.7280000001</v>
      </c>
      <c r="K11" s="3">
        <f t="shared" si="1"/>
        <v>6239900</v>
      </c>
      <c r="L11" s="3">
        <f>Energy_Summary_Template[[#This Row],[electricity_kbtu]]+Energy_Summary_Template[[#This Row],[natural_gas_kbtu]]</f>
        <v>10064219.728</v>
      </c>
      <c r="M11" s="3">
        <f t="shared" si="2"/>
        <v>62.901373300000003</v>
      </c>
      <c r="N11" s="3">
        <f t="shared" si="3"/>
        <v>7.0052750000000001</v>
      </c>
      <c r="O11" s="3">
        <f t="shared" si="13"/>
        <v>0.38999374999999997</v>
      </c>
      <c r="P11" s="3">
        <f t="shared" si="4"/>
        <v>1320.9214285714286</v>
      </c>
      <c r="Q11" s="3">
        <f t="shared" si="5"/>
        <v>1.4447578125</v>
      </c>
      <c r="R11" s="3">
        <f>COUNTIFS('02_input_energy_monthly'!A:A,A11,'02_input_energy_monthly'!H:H,"&gt;0")+COUNTIFS('02_input_energy_monthly'!A:A,A11,'02_input_energy_monthly'!H:H,0,'02_input_energy_monthly'!I:I,"&gt;0")</f>
        <v>12</v>
      </c>
      <c r="S11" s="7">
        <f t="shared" si="6"/>
        <v>1</v>
      </c>
      <c r="T11" s="3">
        <f t="shared" si="7"/>
        <v>59.6</v>
      </c>
      <c r="U11" s="3">
        <f t="shared" si="8"/>
        <v>3.3013733000000016</v>
      </c>
      <c r="V11" s="3" t="str">
        <f t="shared" si="9"/>
        <v>Above Benchmark</v>
      </c>
      <c r="W11" t="str">
        <f t="shared" si="10"/>
        <v>Good</v>
      </c>
      <c r="X11">
        <f t="shared" si="11"/>
        <v>3</v>
      </c>
      <c r="Y11" s="3" t="str">
        <f t="shared" si="12"/>
        <v>Monitor + targeted efficiency upgrades</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21"/>
  <sheetViews>
    <sheetView workbookViewId="0">
      <selection activeCell="F1" sqref="F1:F1048576"/>
    </sheetView>
  </sheetViews>
  <sheetFormatPr defaultRowHeight="14.25"/>
  <cols>
    <col min="1" max="26" width="18" customWidth="1"/>
  </cols>
  <sheetData>
    <row r="1" spans="1:12" ht="30">
      <c r="A1" s="1" t="s">
        <v>0</v>
      </c>
      <c r="B1" s="1" t="s">
        <v>1</v>
      </c>
      <c r="C1" s="1" t="s">
        <v>2</v>
      </c>
      <c r="D1" s="1" t="s">
        <v>3</v>
      </c>
      <c r="E1" s="1" t="s">
        <v>46</v>
      </c>
      <c r="F1" s="5" t="s">
        <v>71</v>
      </c>
      <c r="G1" s="5" t="s">
        <v>72</v>
      </c>
      <c r="H1" s="5" t="s">
        <v>73</v>
      </c>
      <c r="I1" s="1" t="s">
        <v>74</v>
      </c>
      <c r="J1" s="1" t="s">
        <v>53</v>
      </c>
      <c r="K1" s="1" t="s">
        <v>54</v>
      </c>
      <c r="L1" s="1" t="s">
        <v>75</v>
      </c>
    </row>
    <row r="2" spans="1:12" ht="114">
      <c r="A2" s="3" t="s">
        <v>11</v>
      </c>
      <c r="B2" s="3" t="s">
        <v>12</v>
      </c>
      <c r="C2" s="3" t="s">
        <v>13</v>
      </c>
      <c r="D2" s="3" t="s">
        <v>14</v>
      </c>
      <c r="E2" s="12">
        <v>45658</v>
      </c>
      <c r="F2" s="3">
        <v>803652</v>
      </c>
      <c r="G2" s="3">
        <v>3544.11</v>
      </c>
      <c r="H2" s="3">
        <v>4303.5600000000004</v>
      </c>
      <c r="I2" s="3" t="s">
        <v>76</v>
      </c>
      <c r="J2" s="3" t="s">
        <v>77</v>
      </c>
      <c r="K2" s="3" t="s">
        <v>78</v>
      </c>
      <c r="L2" s="3" t="s">
        <v>79</v>
      </c>
    </row>
    <row r="3" spans="1:12" ht="114">
      <c r="A3" s="3" t="s">
        <v>11</v>
      </c>
      <c r="B3" s="3" t="s">
        <v>12</v>
      </c>
      <c r="C3" s="3" t="s">
        <v>13</v>
      </c>
      <c r="D3" s="3" t="s">
        <v>14</v>
      </c>
      <c r="E3" s="12">
        <v>45689</v>
      </c>
      <c r="F3" s="3">
        <v>664746</v>
      </c>
      <c r="G3" s="3">
        <v>2931.53</v>
      </c>
      <c r="H3" s="3">
        <v>3559.71</v>
      </c>
      <c r="I3" s="3" t="s">
        <v>76</v>
      </c>
      <c r="J3" s="3" t="s">
        <v>77</v>
      </c>
      <c r="K3" s="3" t="s">
        <v>78</v>
      </c>
      <c r="L3" s="3" t="s">
        <v>79</v>
      </c>
    </row>
    <row r="4" spans="1:12" ht="114">
      <c r="A4" s="3" t="s">
        <v>11</v>
      </c>
      <c r="B4" s="3" t="s">
        <v>12</v>
      </c>
      <c r="C4" s="3" t="s">
        <v>13</v>
      </c>
      <c r="D4" s="3" t="s">
        <v>14</v>
      </c>
      <c r="E4" s="12">
        <v>45717</v>
      </c>
      <c r="F4" s="3">
        <v>808895</v>
      </c>
      <c r="G4" s="3">
        <v>3567.23</v>
      </c>
      <c r="H4" s="3">
        <v>4331.63</v>
      </c>
      <c r="I4" s="3" t="s">
        <v>76</v>
      </c>
      <c r="J4" s="3" t="s">
        <v>77</v>
      </c>
      <c r="K4" s="3" t="s">
        <v>78</v>
      </c>
      <c r="L4" s="3" t="s">
        <v>79</v>
      </c>
    </row>
    <row r="5" spans="1:12" ht="114">
      <c r="A5" s="3" t="s">
        <v>11</v>
      </c>
      <c r="B5" s="3" t="s">
        <v>12</v>
      </c>
      <c r="C5" s="3" t="s">
        <v>13</v>
      </c>
      <c r="D5" s="3" t="s">
        <v>14</v>
      </c>
      <c r="E5" s="12">
        <v>45748</v>
      </c>
      <c r="F5" s="3">
        <v>804546</v>
      </c>
      <c r="G5" s="3">
        <v>3548.05</v>
      </c>
      <c r="H5" s="3">
        <v>4308.34</v>
      </c>
      <c r="I5" s="3" t="s">
        <v>76</v>
      </c>
      <c r="J5" s="3" t="s">
        <v>77</v>
      </c>
      <c r="K5" s="3" t="s">
        <v>78</v>
      </c>
      <c r="L5" s="3" t="s">
        <v>79</v>
      </c>
    </row>
    <row r="6" spans="1:12" ht="114">
      <c r="A6" s="3" t="s">
        <v>11</v>
      </c>
      <c r="B6" s="3" t="s">
        <v>12</v>
      </c>
      <c r="C6" s="3" t="s">
        <v>13</v>
      </c>
      <c r="D6" s="3" t="s">
        <v>14</v>
      </c>
      <c r="E6" s="12">
        <v>45778</v>
      </c>
      <c r="F6" s="3">
        <v>923382</v>
      </c>
      <c r="G6" s="3">
        <v>4072.12</v>
      </c>
      <c r="H6" s="3">
        <v>4944.71</v>
      </c>
      <c r="I6" s="3" t="s">
        <v>80</v>
      </c>
      <c r="J6" s="3" t="s">
        <v>77</v>
      </c>
      <c r="K6" s="3" t="s">
        <v>78</v>
      </c>
      <c r="L6" s="3" t="s">
        <v>79</v>
      </c>
    </row>
    <row r="7" spans="1:12" ht="114">
      <c r="A7" s="3" t="s">
        <v>11</v>
      </c>
      <c r="B7" s="3" t="s">
        <v>12</v>
      </c>
      <c r="C7" s="3" t="s">
        <v>13</v>
      </c>
      <c r="D7" s="3" t="s">
        <v>14</v>
      </c>
      <c r="E7" s="12">
        <v>45809</v>
      </c>
      <c r="F7" s="3">
        <v>1018532</v>
      </c>
      <c r="G7" s="3">
        <v>4491.7299999999996</v>
      </c>
      <c r="H7" s="3">
        <v>5454.24</v>
      </c>
      <c r="I7" s="3" t="s">
        <v>80</v>
      </c>
      <c r="J7" s="3" t="s">
        <v>77</v>
      </c>
      <c r="K7" s="3" t="s">
        <v>78</v>
      </c>
      <c r="L7" s="3" t="s">
        <v>79</v>
      </c>
    </row>
    <row r="8" spans="1:12" ht="114">
      <c r="A8" s="3" t="s">
        <v>11</v>
      </c>
      <c r="B8" s="3" t="s">
        <v>12</v>
      </c>
      <c r="C8" s="3" t="s">
        <v>13</v>
      </c>
      <c r="D8" s="3" t="s">
        <v>14</v>
      </c>
      <c r="E8" s="12">
        <v>45839</v>
      </c>
      <c r="F8" s="3">
        <v>1133183</v>
      </c>
      <c r="G8" s="3">
        <v>4997.34</v>
      </c>
      <c r="H8" s="3">
        <v>6068.2</v>
      </c>
      <c r="I8" s="3" t="s">
        <v>80</v>
      </c>
      <c r="J8" s="3" t="s">
        <v>77</v>
      </c>
      <c r="K8" s="3" t="s">
        <v>78</v>
      </c>
      <c r="L8" s="3" t="s">
        <v>79</v>
      </c>
    </row>
    <row r="9" spans="1:12" ht="114">
      <c r="A9" s="3" t="s">
        <v>11</v>
      </c>
      <c r="B9" s="3" t="s">
        <v>12</v>
      </c>
      <c r="C9" s="3" t="s">
        <v>13</v>
      </c>
      <c r="D9" s="3" t="s">
        <v>14</v>
      </c>
      <c r="E9" s="12">
        <v>45870</v>
      </c>
      <c r="F9" s="3">
        <v>1053458</v>
      </c>
      <c r="G9" s="3">
        <v>4645.75</v>
      </c>
      <c r="H9" s="3">
        <v>5641.27</v>
      </c>
      <c r="I9" s="3" t="s">
        <v>80</v>
      </c>
      <c r="J9" s="3" t="s">
        <v>77</v>
      </c>
      <c r="K9" s="3" t="s">
        <v>78</v>
      </c>
      <c r="L9" s="3" t="s">
        <v>79</v>
      </c>
    </row>
    <row r="10" spans="1:12" ht="114">
      <c r="A10" s="3" t="s">
        <v>11</v>
      </c>
      <c r="B10" s="3" t="s">
        <v>12</v>
      </c>
      <c r="C10" s="3" t="s">
        <v>13</v>
      </c>
      <c r="D10" s="3" t="s">
        <v>14</v>
      </c>
      <c r="E10" s="12">
        <v>45901</v>
      </c>
      <c r="F10" s="3">
        <v>899219</v>
      </c>
      <c r="G10" s="3">
        <v>3965.55</v>
      </c>
      <c r="H10" s="3">
        <v>4815.32</v>
      </c>
      <c r="I10" s="3" t="s">
        <v>80</v>
      </c>
      <c r="J10" s="3" t="s">
        <v>77</v>
      </c>
      <c r="K10" s="3" t="s">
        <v>78</v>
      </c>
      <c r="L10" s="3" t="s">
        <v>79</v>
      </c>
    </row>
    <row r="11" spans="1:12" ht="114">
      <c r="A11" s="3" t="s">
        <v>11</v>
      </c>
      <c r="B11" s="3" t="s">
        <v>12</v>
      </c>
      <c r="C11" s="3" t="s">
        <v>13</v>
      </c>
      <c r="D11" s="3" t="s">
        <v>14</v>
      </c>
      <c r="E11" s="12">
        <v>45931</v>
      </c>
      <c r="F11" s="3">
        <v>836618</v>
      </c>
      <c r="G11" s="3">
        <v>3689.49</v>
      </c>
      <c r="H11" s="3">
        <v>4480.09</v>
      </c>
      <c r="I11" s="3" t="s">
        <v>76</v>
      </c>
      <c r="J11" s="3" t="s">
        <v>77</v>
      </c>
      <c r="K11" s="3" t="s">
        <v>78</v>
      </c>
      <c r="L11" s="3" t="s">
        <v>79</v>
      </c>
    </row>
    <row r="12" spans="1:12" ht="114">
      <c r="A12" s="3" t="s">
        <v>11</v>
      </c>
      <c r="B12" s="3" t="s">
        <v>12</v>
      </c>
      <c r="C12" s="3" t="s">
        <v>13</v>
      </c>
      <c r="D12" s="3" t="s">
        <v>14</v>
      </c>
      <c r="E12" s="12">
        <v>45962</v>
      </c>
      <c r="F12" s="3">
        <v>771455</v>
      </c>
      <c r="G12" s="3">
        <v>3402.12</v>
      </c>
      <c r="H12" s="3">
        <v>4131.1400000000003</v>
      </c>
      <c r="I12" s="3" t="s">
        <v>76</v>
      </c>
      <c r="J12" s="3" t="s">
        <v>77</v>
      </c>
      <c r="K12" s="3" t="s">
        <v>78</v>
      </c>
      <c r="L12" s="3" t="s">
        <v>79</v>
      </c>
    </row>
    <row r="13" spans="1:12" ht="114">
      <c r="A13" s="3" t="s">
        <v>11</v>
      </c>
      <c r="B13" s="3" t="s">
        <v>12</v>
      </c>
      <c r="C13" s="3" t="s">
        <v>13</v>
      </c>
      <c r="D13" s="3" t="s">
        <v>14</v>
      </c>
      <c r="E13" s="12">
        <v>45992</v>
      </c>
      <c r="F13" s="3">
        <v>804837</v>
      </c>
      <c r="G13" s="3">
        <v>3549.33</v>
      </c>
      <c r="H13" s="3">
        <v>4309.8999999999996</v>
      </c>
      <c r="I13" s="3" t="s">
        <v>76</v>
      </c>
      <c r="J13" s="3" t="s">
        <v>77</v>
      </c>
      <c r="K13" s="3" t="s">
        <v>78</v>
      </c>
      <c r="L13" s="3" t="s">
        <v>79</v>
      </c>
    </row>
    <row r="14" spans="1:12" ht="114">
      <c r="A14" s="3" t="s">
        <v>17</v>
      </c>
      <c r="B14" s="3" t="s">
        <v>18</v>
      </c>
      <c r="C14" s="3" t="s">
        <v>19</v>
      </c>
      <c r="D14" s="3" t="s">
        <v>19</v>
      </c>
      <c r="E14" s="12">
        <v>45658</v>
      </c>
      <c r="F14" s="3">
        <v>1236953</v>
      </c>
      <c r="G14" s="3">
        <v>5818.63</v>
      </c>
      <c r="H14" s="3">
        <v>7065.47</v>
      </c>
      <c r="I14" s="3" t="s">
        <v>76</v>
      </c>
      <c r="J14" s="3" t="s">
        <v>77</v>
      </c>
      <c r="K14" s="3" t="s">
        <v>78</v>
      </c>
      <c r="L14" s="3" t="s">
        <v>79</v>
      </c>
    </row>
    <row r="15" spans="1:12" ht="114">
      <c r="A15" s="3" t="s">
        <v>17</v>
      </c>
      <c r="B15" s="3" t="s">
        <v>18</v>
      </c>
      <c r="C15" s="3" t="s">
        <v>19</v>
      </c>
      <c r="D15" s="3" t="s">
        <v>19</v>
      </c>
      <c r="E15" s="12">
        <v>45689</v>
      </c>
      <c r="F15" s="3">
        <v>1082003</v>
      </c>
      <c r="G15" s="3">
        <v>5089.74</v>
      </c>
      <c r="H15" s="3">
        <v>6180.4</v>
      </c>
      <c r="I15" s="3" t="s">
        <v>76</v>
      </c>
      <c r="J15" s="3" t="s">
        <v>77</v>
      </c>
      <c r="K15" s="3" t="s">
        <v>78</v>
      </c>
      <c r="L15" s="3" t="s">
        <v>79</v>
      </c>
    </row>
    <row r="16" spans="1:12" ht="114">
      <c r="A16" s="3" t="s">
        <v>17</v>
      </c>
      <c r="B16" s="3" t="s">
        <v>18</v>
      </c>
      <c r="C16" s="3" t="s">
        <v>19</v>
      </c>
      <c r="D16" s="3" t="s">
        <v>19</v>
      </c>
      <c r="E16" s="12">
        <v>45717</v>
      </c>
      <c r="F16" s="3">
        <v>1334932</v>
      </c>
      <c r="G16" s="3">
        <v>6279.52</v>
      </c>
      <c r="H16" s="3">
        <v>7625.13</v>
      </c>
      <c r="I16" s="3" t="s">
        <v>76</v>
      </c>
      <c r="J16" s="3" t="s">
        <v>77</v>
      </c>
      <c r="K16" s="3" t="s">
        <v>78</v>
      </c>
      <c r="L16" s="3" t="s">
        <v>79</v>
      </c>
    </row>
    <row r="17" spans="1:12" ht="114">
      <c r="A17" s="3" t="s">
        <v>17</v>
      </c>
      <c r="B17" s="3" t="s">
        <v>18</v>
      </c>
      <c r="C17" s="3" t="s">
        <v>19</v>
      </c>
      <c r="D17" s="3" t="s">
        <v>19</v>
      </c>
      <c r="E17" s="12">
        <v>45748</v>
      </c>
      <c r="F17" s="3">
        <v>1322978</v>
      </c>
      <c r="G17" s="3">
        <v>6223.29</v>
      </c>
      <c r="H17" s="3">
        <v>7556.85</v>
      </c>
      <c r="I17" s="3" t="s">
        <v>76</v>
      </c>
      <c r="J17" s="3" t="s">
        <v>77</v>
      </c>
      <c r="K17" s="3" t="s">
        <v>78</v>
      </c>
      <c r="L17" s="3" t="s">
        <v>79</v>
      </c>
    </row>
    <row r="18" spans="1:12" ht="114">
      <c r="A18" s="3" t="s">
        <v>17</v>
      </c>
      <c r="B18" s="3" t="s">
        <v>18</v>
      </c>
      <c r="C18" s="3" t="s">
        <v>19</v>
      </c>
      <c r="D18" s="3" t="s">
        <v>19</v>
      </c>
      <c r="E18" s="12">
        <v>45778</v>
      </c>
      <c r="F18" s="3">
        <v>1431559</v>
      </c>
      <c r="G18" s="3">
        <v>6734.05</v>
      </c>
      <c r="H18" s="3">
        <v>8177.06</v>
      </c>
      <c r="I18" s="3" t="s">
        <v>80</v>
      </c>
      <c r="J18" s="3" t="s">
        <v>77</v>
      </c>
      <c r="K18" s="3" t="s">
        <v>78</v>
      </c>
      <c r="L18" s="3" t="s">
        <v>79</v>
      </c>
    </row>
    <row r="19" spans="1:12" ht="114">
      <c r="A19" s="3" t="s">
        <v>17</v>
      </c>
      <c r="B19" s="3" t="s">
        <v>18</v>
      </c>
      <c r="C19" s="3" t="s">
        <v>19</v>
      </c>
      <c r="D19" s="3" t="s">
        <v>19</v>
      </c>
      <c r="E19" s="12">
        <v>45809</v>
      </c>
      <c r="F19" s="3">
        <v>1627353</v>
      </c>
      <c r="G19" s="3">
        <v>7655.07</v>
      </c>
      <c r="H19" s="3">
        <v>9295.44</v>
      </c>
      <c r="I19" s="3" t="s">
        <v>80</v>
      </c>
      <c r="J19" s="3" t="s">
        <v>77</v>
      </c>
      <c r="K19" s="3" t="s">
        <v>78</v>
      </c>
      <c r="L19" s="3" t="s">
        <v>79</v>
      </c>
    </row>
    <row r="20" spans="1:12" ht="114">
      <c r="A20" s="3" t="s">
        <v>17</v>
      </c>
      <c r="B20" s="3" t="s">
        <v>18</v>
      </c>
      <c r="C20" s="3" t="s">
        <v>19</v>
      </c>
      <c r="D20" s="3" t="s">
        <v>19</v>
      </c>
      <c r="E20" s="12">
        <v>45839</v>
      </c>
      <c r="F20" s="3">
        <v>1811279</v>
      </c>
      <c r="G20" s="3">
        <v>8520.26</v>
      </c>
      <c r="H20" s="3">
        <v>10346.030000000001</v>
      </c>
      <c r="I20" s="3" t="s">
        <v>80</v>
      </c>
      <c r="J20" s="3" t="s">
        <v>77</v>
      </c>
      <c r="K20" s="3" t="s">
        <v>78</v>
      </c>
      <c r="L20" s="3" t="s">
        <v>79</v>
      </c>
    </row>
    <row r="21" spans="1:12" ht="114">
      <c r="A21" s="3" t="s">
        <v>17</v>
      </c>
      <c r="B21" s="3" t="s">
        <v>18</v>
      </c>
      <c r="C21" s="3" t="s">
        <v>19</v>
      </c>
      <c r="D21" s="3" t="s">
        <v>19</v>
      </c>
      <c r="E21" s="12">
        <v>45870</v>
      </c>
      <c r="F21" s="3">
        <v>1683575</v>
      </c>
      <c r="G21" s="3">
        <v>7919.54</v>
      </c>
      <c r="H21" s="3">
        <v>9616.58</v>
      </c>
      <c r="I21" s="3" t="s">
        <v>80</v>
      </c>
      <c r="J21" s="3" t="s">
        <v>77</v>
      </c>
      <c r="K21" s="3" t="s">
        <v>78</v>
      </c>
      <c r="L21" s="3" t="s">
        <v>79</v>
      </c>
    </row>
    <row r="22" spans="1:12" ht="114">
      <c r="A22" s="3" t="s">
        <v>17</v>
      </c>
      <c r="B22" s="3" t="s">
        <v>18</v>
      </c>
      <c r="C22" s="3" t="s">
        <v>19</v>
      </c>
      <c r="D22" s="3" t="s">
        <v>19</v>
      </c>
      <c r="E22" s="12">
        <v>45901</v>
      </c>
      <c r="F22" s="3">
        <v>1484517</v>
      </c>
      <c r="G22" s="3">
        <v>6983.17</v>
      </c>
      <c r="H22" s="3">
        <v>8479.56</v>
      </c>
      <c r="I22" s="3" t="s">
        <v>80</v>
      </c>
      <c r="J22" s="3" t="s">
        <v>77</v>
      </c>
      <c r="K22" s="3" t="s">
        <v>78</v>
      </c>
      <c r="L22" s="3" t="s">
        <v>79</v>
      </c>
    </row>
    <row r="23" spans="1:12" ht="114">
      <c r="A23" s="3" t="s">
        <v>17</v>
      </c>
      <c r="B23" s="3" t="s">
        <v>18</v>
      </c>
      <c r="C23" s="3" t="s">
        <v>19</v>
      </c>
      <c r="D23" s="3" t="s">
        <v>19</v>
      </c>
      <c r="E23" s="12">
        <v>45931</v>
      </c>
      <c r="F23" s="3">
        <v>1409889</v>
      </c>
      <c r="G23" s="3">
        <v>6632.12</v>
      </c>
      <c r="H23" s="3">
        <v>8053.29</v>
      </c>
      <c r="I23" s="3" t="s">
        <v>76</v>
      </c>
      <c r="J23" s="3" t="s">
        <v>77</v>
      </c>
      <c r="K23" s="3" t="s">
        <v>78</v>
      </c>
      <c r="L23" s="3" t="s">
        <v>79</v>
      </c>
    </row>
    <row r="24" spans="1:12" ht="114">
      <c r="A24" s="3" t="s">
        <v>17</v>
      </c>
      <c r="B24" s="3" t="s">
        <v>18</v>
      </c>
      <c r="C24" s="3" t="s">
        <v>19</v>
      </c>
      <c r="D24" s="3" t="s">
        <v>19</v>
      </c>
      <c r="E24" s="12">
        <v>45962</v>
      </c>
      <c r="F24" s="3">
        <v>1225836</v>
      </c>
      <c r="G24" s="3">
        <v>5766.33</v>
      </c>
      <c r="H24" s="3">
        <v>7001.98</v>
      </c>
      <c r="I24" s="3" t="s">
        <v>76</v>
      </c>
      <c r="J24" s="3" t="s">
        <v>77</v>
      </c>
      <c r="K24" s="3" t="s">
        <v>81</v>
      </c>
      <c r="L24" s="3" t="s">
        <v>79</v>
      </c>
    </row>
    <row r="25" spans="1:12" ht="114">
      <c r="A25" s="3" t="s">
        <v>17</v>
      </c>
      <c r="B25" s="3" t="s">
        <v>18</v>
      </c>
      <c r="C25" s="3" t="s">
        <v>19</v>
      </c>
      <c r="D25" s="3" t="s">
        <v>19</v>
      </c>
      <c r="E25" s="12">
        <v>45992</v>
      </c>
      <c r="F25" s="3">
        <v>1262071</v>
      </c>
      <c r="G25" s="3">
        <v>5936.78</v>
      </c>
      <c r="H25" s="3">
        <v>7208.95</v>
      </c>
      <c r="I25" s="3" t="s">
        <v>76</v>
      </c>
      <c r="J25" s="3" t="s">
        <v>77</v>
      </c>
      <c r="K25" s="3" t="s">
        <v>78</v>
      </c>
      <c r="L25" s="3" t="s">
        <v>79</v>
      </c>
    </row>
    <row r="26" spans="1:12" ht="114">
      <c r="A26" s="3" t="s">
        <v>20</v>
      </c>
      <c r="B26" s="3" t="s">
        <v>21</v>
      </c>
      <c r="C26" s="3" t="s">
        <v>22</v>
      </c>
      <c r="D26" s="3" t="s">
        <v>23</v>
      </c>
      <c r="E26" s="12">
        <v>45658</v>
      </c>
      <c r="F26" s="3">
        <v>707765</v>
      </c>
      <c r="G26" s="3">
        <v>2913.16</v>
      </c>
      <c r="H26" s="3">
        <v>3537.41</v>
      </c>
      <c r="I26" s="3" t="s">
        <v>76</v>
      </c>
      <c r="J26" s="3" t="s">
        <v>77</v>
      </c>
      <c r="K26" s="3" t="s">
        <v>78</v>
      </c>
      <c r="L26" s="3" t="s">
        <v>79</v>
      </c>
    </row>
    <row r="27" spans="1:12" ht="114">
      <c r="A27" s="3" t="s">
        <v>20</v>
      </c>
      <c r="B27" s="3" t="s">
        <v>21</v>
      </c>
      <c r="C27" s="3" t="s">
        <v>22</v>
      </c>
      <c r="D27" s="3" t="s">
        <v>23</v>
      </c>
      <c r="E27" s="12">
        <v>45689</v>
      </c>
      <c r="F27" s="3">
        <v>585736</v>
      </c>
      <c r="G27" s="3">
        <v>2410.89</v>
      </c>
      <c r="H27" s="3">
        <v>2927.51</v>
      </c>
      <c r="I27" s="3" t="s">
        <v>76</v>
      </c>
      <c r="J27" s="3" t="s">
        <v>77</v>
      </c>
      <c r="K27" s="3" t="s">
        <v>78</v>
      </c>
      <c r="L27" s="3" t="s">
        <v>79</v>
      </c>
    </row>
    <row r="28" spans="1:12" ht="114">
      <c r="A28" s="3" t="s">
        <v>20</v>
      </c>
      <c r="B28" s="3" t="s">
        <v>21</v>
      </c>
      <c r="C28" s="3" t="s">
        <v>22</v>
      </c>
      <c r="D28" s="3" t="s">
        <v>23</v>
      </c>
      <c r="E28" s="12">
        <v>45717</v>
      </c>
      <c r="F28" s="3">
        <v>687990</v>
      </c>
      <c r="G28" s="3">
        <v>2831.77</v>
      </c>
      <c r="H28" s="3">
        <v>3438.58</v>
      </c>
      <c r="I28" s="3" t="s">
        <v>76</v>
      </c>
      <c r="J28" s="3" t="s">
        <v>77</v>
      </c>
      <c r="K28" s="3" t="s">
        <v>78</v>
      </c>
      <c r="L28" s="3" t="s">
        <v>79</v>
      </c>
    </row>
    <row r="29" spans="1:12" ht="114">
      <c r="A29" s="3" t="s">
        <v>20</v>
      </c>
      <c r="B29" s="3" t="s">
        <v>21</v>
      </c>
      <c r="C29" s="3" t="s">
        <v>22</v>
      </c>
      <c r="D29" s="3" t="s">
        <v>23</v>
      </c>
      <c r="E29" s="12">
        <v>45748</v>
      </c>
      <c r="F29" s="3">
        <v>687019</v>
      </c>
      <c r="G29" s="3">
        <v>2827.77</v>
      </c>
      <c r="H29" s="3">
        <v>3433.72</v>
      </c>
      <c r="I29" s="3" t="s">
        <v>76</v>
      </c>
      <c r="J29" s="3" t="s">
        <v>77</v>
      </c>
      <c r="K29" s="3" t="s">
        <v>78</v>
      </c>
      <c r="L29" s="3" t="s">
        <v>79</v>
      </c>
    </row>
    <row r="30" spans="1:12" ht="114">
      <c r="A30" s="3" t="s">
        <v>20</v>
      </c>
      <c r="B30" s="3" t="s">
        <v>21</v>
      </c>
      <c r="C30" s="3" t="s">
        <v>22</v>
      </c>
      <c r="D30" s="3" t="s">
        <v>23</v>
      </c>
      <c r="E30" s="12">
        <v>45778</v>
      </c>
      <c r="F30" s="3">
        <v>801764</v>
      </c>
      <c r="G30" s="3">
        <v>3300.06</v>
      </c>
      <c r="H30" s="3">
        <v>4007.21</v>
      </c>
      <c r="I30" s="3" t="s">
        <v>80</v>
      </c>
      <c r="J30" s="3" t="s">
        <v>77</v>
      </c>
      <c r="K30" s="3" t="s">
        <v>78</v>
      </c>
      <c r="L30" s="3" t="s">
        <v>79</v>
      </c>
    </row>
    <row r="31" spans="1:12" ht="114">
      <c r="A31" s="3" t="s">
        <v>20</v>
      </c>
      <c r="B31" s="3" t="s">
        <v>21</v>
      </c>
      <c r="C31" s="3" t="s">
        <v>22</v>
      </c>
      <c r="D31" s="3" t="s">
        <v>23</v>
      </c>
      <c r="E31" s="12">
        <v>45809</v>
      </c>
      <c r="F31" s="3">
        <v>873243</v>
      </c>
      <c r="G31" s="3">
        <v>3594.27</v>
      </c>
      <c r="H31" s="3">
        <v>4364.47</v>
      </c>
      <c r="I31" s="3" t="s">
        <v>80</v>
      </c>
      <c r="J31" s="3" t="s">
        <v>77</v>
      </c>
      <c r="K31" s="3" t="s">
        <v>78</v>
      </c>
      <c r="L31" s="3" t="s">
        <v>79</v>
      </c>
    </row>
    <row r="32" spans="1:12" ht="114">
      <c r="A32" s="3" t="s">
        <v>20</v>
      </c>
      <c r="B32" s="3" t="s">
        <v>21</v>
      </c>
      <c r="C32" s="3" t="s">
        <v>22</v>
      </c>
      <c r="D32" s="3" t="s">
        <v>23</v>
      </c>
      <c r="E32" s="12">
        <v>45839</v>
      </c>
      <c r="F32" s="3">
        <v>970808</v>
      </c>
      <c r="G32" s="3">
        <v>3995.85</v>
      </c>
      <c r="H32" s="3">
        <v>4852.1000000000004</v>
      </c>
      <c r="I32" s="3" t="s">
        <v>80</v>
      </c>
      <c r="J32" s="3" t="s">
        <v>77</v>
      </c>
      <c r="K32" s="3" t="s">
        <v>78</v>
      </c>
      <c r="L32" s="3" t="s">
        <v>79</v>
      </c>
    </row>
    <row r="33" spans="1:12" ht="114">
      <c r="A33" s="3" t="s">
        <v>20</v>
      </c>
      <c r="B33" s="3" t="s">
        <v>21</v>
      </c>
      <c r="C33" s="3" t="s">
        <v>22</v>
      </c>
      <c r="D33" s="3" t="s">
        <v>23</v>
      </c>
      <c r="E33" s="12">
        <v>45870</v>
      </c>
      <c r="F33" s="3">
        <v>949829</v>
      </c>
      <c r="G33" s="3">
        <v>3909.5</v>
      </c>
      <c r="H33" s="3">
        <v>4747.24</v>
      </c>
      <c r="I33" s="3" t="s">
        <v>80</v>
      </c>
      <c r="J33" s="3" t="s">
        <v>77</v>
      </c>
      <c r="K33" s="3" t="s">
        <v>78</v>
      </c>
      <c r="L33" s="3" t="s">
        <v>79</v>
      </c>
    </row>
    <row r="34" spans="1:12" ht="114">
      <c r="A34" s="3" t="s">
        <v>20</v>
      </c>
      <c r="B34" s="3" t="s">
        <v>21</v>
      </c>
      <c r="C34" s="3" t="s">
        <v>22</v>
      </c>
      <c r="D34" s="3" t="s">
        <v>23</v>
      </c>
      <c r="E34" s="12">
        <v>45901</v>
      </c>
      <c r="F34" s="3">
        <v>781093</v>
      </c>
      <c r="G34" s="3">
        <v>3214.98</v>
      </c>
      <c r="H34" s="3">
        <v>3903.9</v>
      </c>
      <c r="I34" s="3" t="s">
        <v>80</v>
      </c>
      <c r="J34" s="3" t="s">
        <v>77</v>
      </c>
      <c r="K34" s="3" t="s">
        <v>78</v>
      </c>
      <c r="L34" s="3" t="s">
        <v>79</v>
      </c>
    </row>
    <row r="35" spans="1:12" ht="114">
      <c r="A35" s="3" t="s">
        <v>20</v>
      </c>
      <c r="B35" s="3" t="s">
        <v>21</v>
      </c>
      <c r="C35" s="3" t="s">
        <v>22</v>
      </c>
      <c r="D35" s="3" t="s">
        <v>23</v>
      </c>
      <c r="E35" s="12">
        <v>45931</v>
      </c>
      <c r="F35" s="3">
        <v>770139</v>
      </c>
      <c r="G35" s="3">
        <v>3169.89</v>
      </c>
      <c r="H35" s="3">
        <v>3849.16</v>
      </c>
      <c r="I35" s="3" t="s">
        <v>76</v>
      </c>
      <c r="J35" s="3" t="s">
        <v>77</v>
      </c>
      <c r="K35" s="3" t="s">
        <v>78</v>
      </c>
      <c r="L35" s="3" t="s">
        <v>79</v>
      </c>
    </row>
    <row r="36" spans="1:12" ht="114">
      <c r="A36" s="3" t="s">
        <v>20</v>
      </c>
      <c r="B36" s="3" t="s">
        <v>21</v>
      </c>
      <c r="C36" s="3" t="s">
        <v>22</v>
      </c>
      <c r="D36" s="3" t="s">
        <v>23</v>
      </c>
      <c r="E36" s="12">
        <v>45962</v>
      </c>
      <c r="F36" s="3">
        <v>672355</v>
      </c>
      <c r="G36" s="3">
        <v>2767.41</v>
      </c>
      <c r="H36" s="3">
        <v>3360.43</v>
      </c>
      <c r="I36" s="3" t="s">
        <v>76</v>
      </c>
      <c r="J36" s="3" t="s">
        <v>77</v>
      </c>
      <c r="K36" s="3" t="s">
        <v>78</v>
      </c>
      <c r="L36" s="3" t="s">
        <v>79</v>
      </c>
    </row>
    <row r="37" spans="1:12" ht="114">
      <c r="A37" s="3" t="s">
        <v>20</v>
      </c>
      <c r="B37" s="3" t="s">
        <v>21</v>
      </c>
      <c r="C37" s="3" t="s">
        <v>22</v>
      </c>
      <c r="D37" s="3" t="s">
        <v>23</v>
      </c>
      <c r="E37" s="12">
        <v>45992</v>
      </c>
      <c r="F37" s="3">
        <v>695795</v>
      </c>
      <c r="G37" s="3">
        <v>2863.89</v>
      </c>
      <c r="H37" s="3">
        <v>3477.59</v>
      </c>
      <c r="I37" s="3" t="s">
        <v>76</v>
      </c>
      <c r="J37" s="3" t="s">
        <v>77</v>
      </c>
      <c r="K37" s="3" t="s">
        <v>78</v>
      </c>
      <c r="L37" s="3" t="s">
        <v>79</v>
      </c>
    </row>
    <row r="38" spans="1:12" ht="114">
      <c r="A38" s="3" t="s">
        <v>24</v>
      </c>
      <c r="B38" s="3" t="s">
        <v>25</v>
      </c>
      <c r="C38" s="3" t="s">
        <v>26</v>
      </c>
      <c r="D38" s="3" t="s">
        <v>27</v>
      </c>
      <c r="E38" s="12">
        <v>45658</v>
      </c>
      <c r="F38" s="3">
        <v>644013</v>
      </c>
      <c r="G38" s="3">
        <v>2542.56</v>
      </c>
      <c r="H38" s="3">
        <v>3087.4</v>
      </c>
      <c r="I38" s="3" t="s">
        <v>76</v>
      </c>
      <c r="J38" s="3" t="s">
        <v>77</v>
      </c>
      <c r="K38" s="3" t="s">
        <v>78</v>
      </c>
      <c r="L38" s="3" t="s">
        <v>79</v>
      </c>
    </row>
    <row r="39" spans="1:12" ht="114">
      <c r="A39" s="3" t="s">
        <v>24</v>
      </c>
      <c r="B39" s="3" t="s">
        <v>25</v>
      </c>
      <c r="C39" s="3" t="s">
        <v>26</v>
      </c>
      <c r="D39" s="3" t="s">
        <v>27</v>
      </c>
      <c r="E39" s="12">
        <v>45689</v>
      </c>
      <c r="F39" s="3">
        <v>548370</v>
      </c>
      <c r="G39" s="3">
        <v>2164.96</v>
      </c>
      <c r="H39" s="3">
        <v>2628.88</v>
      </c>
      <c r="I39" s="3" t="s">
        <v>76</v>
      </c>
      <c r="J39" s="3" t="s">
        <v>77</v>
      </c>
      <c r="K39" s="3" t="s">
        <v>78</v>
      </c>
      <c r="L39" s="3" t="s">
        <v>79</v>
      </c>
    </row>
    <row r="40" spans="1:12" ht="114">
      <c r="A40" s="3" t="s">
        <v>24</v>
      </c>
      <c r="B40" s="3" t="s">
        <v>25</v>
      </c>
      <c r="C40" s="3" t="s">
        <v>26</v>
      </c>
      <c r="D40" s="3" t="s">
        <v>27</v>
      </c>
      <c r="E40" s="12">
        <v>45717</v>
      </c>
      <c r="F40" s="3">
        <v>666483</v>
      </c>
      <c r="G40" s="3">
        <v>2631.28</v>
      </c>
      <c r="H40" s="3">
        <v>3195.12</v>
      </c>
      <c r="I40" s="3" t="s">
        <v>76</v>
      </c>
      <c r="J40" s="3" t="s">
        <v>77</v>
      </c>
      <c r="K40" s="3" t="s">
        <v>78</v>
      </c>
      <c r="L40" s="3" t="s">
        <v>79</v>
      </c>
    </row>
    <row r="41" spans="1:12" ht="114">
      <c r="A41" s="3" t="s">
        <v>24</v>
      </c>
      <c r="B41" s="3" t="s">
        <v>25</v>
      </c>
      <c r="C41" s="3" t="s">
        <v>26</v>
      </c>
      <c r="D41" s="3" t="s">
        <v>27</v>
      </c>
      <c r="E41" s="12">
        <v>45748</v>
      </c>
      <c r="F41" s="3">
        <v>652435</v>
      </c>
      <c r="G41" s="3">
        <v>2575.81</v>
      </c>
      <c r="H41" s="3">
        <v>3127.77</v>
      </c>
      <c r="I41" s="3" t="s">
        <v>76</v>
      </c>
      <c r="J41" s="3" t="s">
        <v>77</v>
      </c>
      <c r="K41" s="3" t="s">
        <v>78</v>
      </c>
      <c r="L41" s="3" t="s">
        <v>79</v>
      </c>
    </row>
    <row r="42" spans="1:12" ht="114">
      <c r="A42" s="3" t="s">
        <v>24</v>
      </c>
      <c r="B42" s="3" t="s">
        <v>25</v>
      </c>
      <c r="C42" s="3" t="s">
        <v>26</v>
      </c>
      <c r="D42" s="3" t="s">
        <v>27</v>
      </c>
      <c r="E42" s="12">
        <v>45778</v>
      </c>
      <c r="F42" s="3">
        <v>728737</v>
      </c>
      <c r="G42" s="3">
        <v>2877.05</v>
      </c>
      <c r="H42" s="3">
        <v>3493.56</v>
      </c>
      <c r="I42" s="3" t="s">
        <v>80</v>
      </c>
      <c r="J42" s="3" t="s">
        <v>77</v>
      </c>
      <c r="K42" s="3" t="s">
        <v>78</v>
      </c>
      <c r="L42" s="3" t="s">
        <v>79</v>
      </c>
    </row>
    <row r="43" spans="1:12" ht="114">
      <c r="A43" s="3" t="s">
        <v>24</v>
      </c>
      <c r="B43" s="3" t="s">
        <v>25</v>
      </c>
      <c r="C43" s="3" t="s">
        <v>26</v>
      </c>
      <c r="D43" s="3" t="s">
        <v>27</v>
      </c>
      <c r="E43" s="12">
        <v>45809</v>
      </c>
      <c r="F43" s="3">
        <v>737280</v>
      </c>
      <c r="G43" s="3">
        <v>2910.78</v>
      </c>
      <c r="H43" s="3">
        <v>3534.52</v>
      </c>
      <c r="I43" s="3" t="s">
        <v>80</v>
      </c>
      <c r="J43" s="3" t="s">
        <v>77</v>
      </c>
      <c r="K43" s="3" t="s">
        <v>78</v>
      </c>
      <c r="L43" s="3" t="s">
        <v>79</v>
      </c>
    </row>
    <row r="44" spans="1:12" ht="114">
      <c r="A44" s="3" t="s">
        <v>24</v>
      </c>
      <c r="B44" s="3" t="s">
        <v>25</v>
      </c>
      <c r="C44" s="3" t="s">
        <v>26</v>
      </c>
      <c r="D44" s="3" t="s">
        <v>27</v>
      </c>
      <c r="E44" s="12">
        <v>45839</v>
      </c>
      <c r="F44" s="3">
        <v>818869</v>
      </c>
      <c r="G44" s="3">
        <v>3232.89</v>
      </c>
      <c r="H44" s="3">
        <v>3925.66</v>
      </c>
      <c r="I44" s="3" t="s">
        <v>80</v>
      </c>
      <c r="J44" s="3" t="s">
        <v>77</v>
      </c>
      <c r="K44" s="3" t="s">
        <v>78</v>
      </c>
      <c r="L44" s="3" t="s">
        <v>79</v>
      </c>
    </row>
    <row r="45" spans="1:12" ht="114">
      <c r="A45" s="3" t="s">
        <v>24</v>
      </c>
      <c r="B45" s="3" t="s">
        <v>25</v>
      </c>
      <c r="C45" s="3" t="s">
        <v>26</v>
      </c>
      <c r="D45" s="3" t="s">
        <v>27</v>
      </c>
      <c r="E45" s="12">
        <v>45870</v>
      </c>
      <c r="F45" s="3">
        <v>808979</v>
      </c>
      <c r="G45" s="3">
        <v>3193.85</v>
      </c>
      <c r="H45" s="3">
        <v>3878.24</v>
      </c>
      <c r="I45" s="3" t="s">
        <v>80</v>
      </c>
      <c r="J45" s="3" t="s">
        <v>77</v>
      </c>
      <c r="K45" s="3" t="s">
        <v>78</v>
      </c>
      <c r="L45" s="3" t="s">
        <v>79</v>
      </c>
    </row>
    <row r="46" spans="1:12" ht="114">
      <c r="A46" s="3" t="s">
        <v>24</v>
      </c>
      <c r="B46" s="3" t="s">
        <v>25</v>
      </c>
      <c r="C46" s="3" t="s">
        <v>26</v>
      </c>
      <c r="D46" s="3" t="s">
        <v>27</v>
      </c>
      <c r="E46" s="12">
        <v>45901</v>
      </c>
      <c r="F46" s="3">
        <v>694102</v>
      </c>
      <c r="G46" s="3">
        <v>2740.32</v>
      </c>
      <c r="H46" s="3">
        <v>3327.53</v>
      </c>
      <c r="I46" s="3" t="s">
        <v>80</v>
      </c>
      <c r="J46" s="3" t="s">
        <v>77</v>
      </c>
      <c r="K46" s="3" t="s">
        <v>78</v>
      </c>
      <c r="L46" s="3" t="s">
        <v>79</v>
      </c>
    </row>
    <row r="47" spans="1:12" ht="114">
      <c r="A47" s="3" t="s">
        <v>24</v>
      </c>
      <c r="B47" s="3" t="s">
        <v>25</v>
      </c>
      <c r="C47" s="3" t="s">
        <v>26</v>
      </c>
      <c r="D47" s="3" t="s">
        <v>27</v>
      </c>
      <c r="E47" s="12">
        <v>45931</v>
      </c>
      <c r="F47" s="3">
        <v>671438</v>
      </c>
      <c r="G47" s="3">
        <v>2650.84</v>
      </c>
      <c r="H47" s="3">
        <v>3218.87</v>
      </c>
      <c r="I47" s="3" t="s">
        <v>76</v>
      </c>
      <c r="J47" s="3" t="s">
        <v>77</v>
      </c>
      <c r="K47" s="3" t="s">
        <v>78</v>
      </c>
      <c r="L47" s="3" t="s">
        <v>79</v>
      </c>
    </row>
    <row r="48" spans="1:12" ht="114">
      <c r="A48" s="3" t="s">
        <v>24</v>
      </c>
      <c r="B48" s="3" t="s">
        <v>25</v>
      </c>
      <c r="C48" s="3" t="s">
        <v>26</v>
      </c>
      <c r="D48" s="3" t="s">
        <v>27</v>
      </c>
      <c r="E48" s="12">
        <v>45962</v>
      </c>
      <c r="F48" s="3">
        <v>605050</v>
      </c>
      <c r="G48" s="3">
        <v>2388.7399999999998</v>
      </c>
      <c r="H48" s="3">
        <v>2900.61</v>
      </c>
      <c r="I48" s="3" t="s">
        <v>76</v>
      </c>
      <c r="J48" s="3" t="s">
        <v>77</v>
      </c>
      <c r="K48" s="3" t="s">
        <v>78</v>
      </c>
      <c r="L48" s="3" t="s">
        <v>79</v>
      </c>
    </row>
    <row r="49" spans="1:12" ht="114">
      <c r="A49" s="3" t="s">
        <v>24</v>
      </c>
      <c r="B49" s="3" t="s">
        <v>25</v>
      </c>
      <c r="C49" s="3" t="s">
        <v>26</v>
      </c>
      <c r="D49" s="3" t="s">
        <v>27</v>
      </c>
      <c r="E49" s="12">
        <v>45992</v>
      </c>
      <c r="F49" s="3">
        <v>626450</v>
      </c>
      <c r="G49" s="3">
        <v>2473.23</v>
      </c>
      <c r="H49" s="3">
        <v>3003.2</v>
      </c>
      <c r="I49" s="3" t="s">
        <v>76</v>
      </c>
      <c r="J49" s="3" t="s">
        <v>77</v>
      </c>
      <c r="K49" s="3" t="s">
        <v>78</v>
      </c>
      <c r="L49" s="3" t="s">
        <v>79</v>
      </c>
    </row>
    <row r="50" spans="1:12" ht="114">
      <c r="A50" s="3" t="s">
        <v>28</v>
      </c>
      <c r="B50" s="3" t="s">
        <v>29</v>
      </c>
      <c r="C50" s="3" t="s">
        <v>30</v>
      </c>
      <c r="D50" s="3" t="s">
        <v>30</v>
      </c>
      <c r="E50" s="12">
        <v>45658</v>
      </c>
      <c r="F50" s="3">
        <v>400067</v>
      </c>
      <c r="G50" s="3">
        <v>1613.07</v>
      </c>
      <c r="H50" s="3">
        <v>1958.73</v>
      </c>
      <c r="I50" s="3" t="s">
        <v>76</v>
      </c>
      <c r="J50" s="3" t="s">
        <v>77</v>
      </c>
      <c r="K50" s="3" t="s">
        <v>78</v>
      </c>
      <c r="L50" s="3" t="s">
        <v>79</v>
      </c>
    </row>
    <row r="51" spans="1:12" ht="114">
      <c r="A51" s="3" t="s">
        <v>28</v>
      </c>
      <c r="B51" s="3" t="s">
        <v>29</v>
      </c>
      <c r="C51" s="3" t="s">
        <v>30</v>
      </c>
      <c r="D51" s="3" t="s">
        <v>30</v>
      </c>
      <c r="E51" s="12">
        <v>45689</v>
      </c>
      <c r="F51" s="3">
        <v>339149</v>
      </c>
      <c r="G51" s="3">
        <v>1367.45</v>
      </c>
      <c r="H51" s="3">
        <v>1660.47</v>
      </c>
      <c r="I51" s="3" t="s">
        <v>76</v>
      </c>
      <c r="J51" s="3" t="s">
        <v>77</v>
      </c>
      <c r="K51" s="3" t="s">
        <v>78</v>
      </c>
      <c r="L51" s="3" t="s">
        <v>79</v>
      </c>
    </row>
    <row r="52" spans="1:12" ht="114">
      <c r="A52" s="3" t="s">
        <v>28</v>
      </c>
      <c r="B52" s="3" t="s">
        <v>29</v>
      </c>
      <c r="C52" s="3" t="s">
        <v>30</v>
      </c>
      <c r="D52" s="3" t="s">
        <v>30</v>
      </c>
      <c r="E52" s="12">
        <v>45717</v>
      </c>
      <c r="F52" s="3">
        <v>405507</v>
      </c>
      <c r="G52" s="3">
        <v>1635.01</v>
      </c>
      <c r="H52" s="3">
        <v>1985.36</v>
      </c>
      <c r="I52" s="3" t="s">
        <v>76</v>
      </c>
      <c r="J52" s="3" t="s">
        <v>77</v>
      </c>
      <c r="K52" s="3" t="s">
        <v>78</v>
      </c>
      <c r="L52" s="3" t="s">
        <v>79</v>
      </c>
    </row>
    <row r="53" spans="1:12" ht="114">
      <c r="A53" s="3" t="s">
        <v>28</v>
      </c>
      <c r="B53" s="3" t="s">
        <v>29</v>
      </c>
      <c r="C53" s="3" t="s">
        <v>30</v>
      </c>
      <c r="D53" s="3" t="s">
        <v>30</v>
      </c>
      <c r="E53" s="12">
        <v>45748</v>
      </c>
      <c r="F53" s="3">
        <v>400224</v>
      </c>
      <c r="G53" s="3">
        <v>1613.7</v>
      </c>
      <c r="H53" s="3">
        <v>1959.5</v>
      </c>
      <c r="I53" s="3" t="s">
        <v>76</v>
      </c>
      <c r="J53" s="3" t="s">
        <v>77</v>
      </c>
      <c r="K53" s="3" t="s">
        <v>78</v>
      </c>
      <c r="L53" s="3" t="s">
        <v>79</v>
      </c>
    </row>
    <row r="54" spans="1:12" ht="114">
      <c r="A54" s="3" t="s">
        <v>28</v>
      </c>
      <c r="B54" s="3" t="s">
        <v>29</v>
      </c>
      <c r="C54" s="3" t="s">
        <v>30</v>
      </c>
      <c r="D54" s="3" t="s">
        <v>30</v>
      </c>
      <c r="E54" s="12">
        <v>45778</v>
      </c>
      <c r="F54" s="3">
        <v>444925</v>
      </c>
      <c r="G54" s="3">
        <v>1793.94</v>
      </c>
      <c r="H54" s="3">
        <v>2178.35</v>
      </c>
      <c r="I54" s="3" t="s">
        <v>80</v>
      </c>
      <c r="J54" s="3" t="s">
        <v>77</v>
      </c>
      <c r="K54" s="3" t="s">
        <v>78</v>
      </c>
      <c r="L54" s="3" t="s">
        <v>79</v>
      </c>
    </row>
    <row r="55" spans="1:12" ht="114">
      <c r="A55" s="3" t="s">
        <v>28</v>
      </c>
      <c r="B55" s="3" t="s">
        <v>29</v>
      </c>
      <c r="C55" s="3" t="s">
        <v>30</v>
      </c>
      <c r="D55" s="3" t="s">
        <v>30</v>
      </c>
      <c r="E55" s="12">
        <v>45809</v>
      </c>
      <c r="F55" s="3">
        <v>494052</v>
      </c>
      <c r="G55" s="3">
        <v>1992.02</v>
      </c>
      <c r="H55" s="3">
        <v>2418.88</v>
      </c>
      <c r="I55" s="3" t="s">
        <v>80</v>
      </c>
      <c r="J55" s="3" t="s">
        <v>77</v>
      </c>
      <c r="K55" s="3" t="s">
        <v>78</v>
      </c>
      <c r="L55" s="3" t="s">
        <v>79</v>
      </c>
    </row>
    <row r="56" spans="1:12" ht="114">
      <c r="A56" s="3" t="s">
        <v>28</v>
      </c>
      <c r="B56" s="3" t="s">
        <v>29</v>
      </c>
      <c r="C56" s="3" t="s">
        <v>30</v>
      </c>
      <c r="D56" s="3" t="s">
        <v>30</v>
      </c>
      <c r="E56" s="12">
        <v>45839</v>
      </c>
      <c r="F56" s="3">
        <v>530978</v>
      </c>
      <c r="G56" s="3">
        <v>2140.91</v>
      </c>
      <c r="H56" s="3">
        <v>2599.67</v>
      </c>
      <c r="I56" s="3" t="s">
        <v>80</v>
      </c>
      <c r="J56" s="3" t="s">
        <v>77</v>
      </c>
      <c r="K56" s="3" t="s">
        <v>78</v>
      </c>
      <c r="L56" s="3" t="s">
        <v>79</v>
      </c>
    </row>
    <row r="57" spans="1:12" ht="114">
      <c r="A57" s="3" t="s">
        <v>28</v>
      </c>
      <c r="B57" s="3" t="s">
        <v>29</v>
      </c>
      <c r="C57" s="3" t="s">
        <v>30</v>
      </c>
      <c r="D57" s="3" t="s">
        <v>30</v>
      </c>
      <c r="E57" s="12">
        <v>45870</v>
      </c>
      <c r="F57" s="3">
        <v>520866</v>
      </c>
      <c r="G57" s="3">
        <v>2100.13</v>
      </c>
      <c r="H57" s="3">
        <v>2550.16</v>
      </c>
      <c r="I57" s="3" t="s">
        <v>80</v>
      </c>
      <c r="J57" s="3" t="s">
        <v>77</v>
      </c>
      <c r="K57" s="3" t="s">
        <v>78</v>
      </c>
      <c r="L57" s="3" t="s">
        <v>79</v>
      </c>
    </row>
    <row r="58" spans="1:12" ht="114">
      <c r="A58" s="3" t="s">
        <v>28</v>
      </c>
      <c r="B58" s="3" t="s">
        <v>29</v>
      </c>
      <c r="C58" s="3" t="s">
        <v>30</v>
      </c>
      <c r="D58" s="3" t="s">
        <v>30</v>
      </c>
      <c r="E58" s="12">
        <v>45901</v>
      </c>
      <c r="F58" s="3">
        <v>439854</v>
      </c>
      <c r="G58" s="3">
        <v>1773.49</v>
      </c>
      <c r="H58" s="3">
        <v>2153.5300000000002</v>
      </c>
      <c r="I58" s="3" t="s">
        <v>80</v>
      </c>
      <c r="J58" s="3" t="s">
        <v>77</v>
      </c>
      <c r="K58" s="3" t="s">
        <v>78</v>
      </c>
      <c r="L58" s="3" t="s">
        <v>79</v>
      </c>
    </row>
    <row r="59" spans="1:12" ht="114">
      <c r="A59" s="3" t="s">
        <v>28</v>
      </c>
      <c r="B59" s="3" t="s">
        <v>29</v>
      </c>
      <c r="C59" s="3" t="s">
        <v>30</v>
      </c>
      <c r="D59" s="3" t="s">
        <v>30</v>
      </c>
      <c r="E59" s="12">
        <v>45931</v>
      </c>
      <c r="F59" s="3">
        <v>437673</v>
      </c>
      <c r="G59" s="3">
        <v>1764.7</v>
      </c>
      <c r="H59" s="3">
        <v>2142.85</v>
      </c>
      <c r="I59" s="3" t="s">
        <v>76</v>
      </c>
      <c r="J59" s="3" t="s">
        <v>77</v>
      </c>
      <c r="K59" s="3" t="s">
        <v>78</v>
      </c>
      <c r="L59" s="3" t="s">
        <v>79</v>
      </c>
    </row>
    <row r="60" spans="1:12" ht="114">
      <c r="A60" s="3" t="s">
        <v>28</v>
      </c>
      <c r="B60" s="3" t="s">
        <v>29</v>
      </c>
      <c r="C60" s="3" t="s">
        <v>30</v>
      </c>
      <c r="D60" s="3" t="s">
        <v>30</v>
      </c>
      <c r="E60" s="12">
        <v>45962</v>
      </c>
      <c r="F60" s="3">
        <v>382624</v>
      </c>
      <c r="G60" s="3">
        <v>1542.74</v>
      </c>
      <c r="H60" s="3">
        <v>1873.33</v>
      </c>
      <c r="I60" s="3" t="s">
        <v>76</v>
      </c>
      <c r="J60" s="3" t="s">
        <v>77</v>
      </c>
      <c r="K60" s="3" t="s">
        <v>78</v>
      </c>
      <c r="L60" s="3" t="s">
        <v>79</v>
      </c>
    </row>
    <row r="61" spans="1:12" ht="114">
      <c r="A61" s="3" t="s">
        <v>28</v>
      </c>
      <c r="B61" s="3" t="s">
        <v>29</v>
      </c>
      <c r="C61" s="3" t="s">
        <v>30</v>
      </c>
      <c r="D61" s="3" t="s">
        <v>30</v>
      </c>
      <c r="E61" s="12">
        <v>45992</v>
      </c>
      <c r="F61" s="3">
        <v>397231</v>
      </c>
      <c r="G61" s="3">
        <v>1601.63</v>
      </c>
      <c r="H61" s="3">
        <v>1944.84</v>
      </c>
      <c r="I61" s="3" t="s">
        <v>76</v>
      </c>
      <c r="J61" s="3" t="s">
        <v>77</v>
      </c>
      <c r="K61" s="3" t="s">
        <v>78</v>
      </c>
      <c r="L61" s="3" t="s">
        <v>79</v>
      </c>
    </row>
    <row r="62" spans="1:12" ht="114">
      <c r="A62" s="3" t="s">
        <v>31</v>
      </c>
      <c r="B62" s="3" t="s">
        <v>32</v>
      </c>
      <c r="C62" s="3" t="s">
        <v>33</v>
      </c>
      <c r="D62" s="3" t="s">
        <v>33</v>
      </c>
      <c r="E62" s="12">
        <v>45658</v>
      </c>
      <c r="F62" s="3">
        <v>1138094</v>
      </c>
      <c r="G62" s="3">
        <v>5162.3900000000003</v>
      </c>
      <c r="H62" s="3">
        <v>6268.62</v>
      </c>
      <c r="I62" s="3" t="s">
        <v>76</v>
      </c>
      <c r="J62" s="3" t="s">
        <v>77</v>
      </c>
      <c r="K62" s="3" t="s">
        <v>78</v>
      </c>
      <c r="L62" s="3" t="s">
        <v>79</v>
      </c>
    </row>
    <row r="63" spans="1:12" ht="114">
      <c r="A63" s="3" t="s">
        <v>31</v>
      </c>
      <c r="B63" s="3" t="s">
        <v>32</v>
      </c>
      <c r="C63" s="3" t="s">
        <v>33</v>
      </c>
      <c r="D63" s="3" t="s">
        <v>33</v>
      </c>
      <c r="E63" s="12">
        <v>45689</v>
      </c>
      <c r="F63" s="3">
        <v>940802</v>
      </c>
      <c r="G63" s="3">
        <v>4267.4799999999996</v>
      </c>
      <c r="H63" s="3">
        <v>5181.9399999999996</v>
      </c>
      <c r="I63" s="3" t="s">
        <v>76</v>
      </c>
      <c r="J63" s="3" t="s">
        <v>77</v>
      </c>
      <c r="K63" s="3" t="s">
        <v>81</v>
      </c>
      <c r="L63" s="3" t="s">
        <v>79</v>
      </c>
    </row>
    <row r="64" spans="1:12" ht="114">
      <c r="A64" s="3" t="s">
        <v>31</v>
      </c>
      <c r="B64" s="3" t="s">
        <v>32</v>
      </c>
      <c r="C64" s="3" t="s">
        <v>33</v>
      </c>
      <c r="D64" s="3" t="s">
        <v>33</v>
      </c>
      <c r="E64" s="12">
        <v>45717</v>
      </c>
      <c r="F64" s="3">
        <v>1117983</v>
      </c>
      <c r="G64" s="3">
        <v>5071.17</v>
      </c>
      <c r="H64" s="3">
        <v>6157.85</v>
      </c>
      <c r="I64" s="3" t="s">
        <v>76</v>
      </c>
      <c r="J64" s="3" t="s">
        <v>77</v>
      </c>
      <c r="K64" s="3" t="s">
        <v>81</v>
      </c>
      <c r="L64" s="3" t="s">
        <v>79</v>
      </c>
    </row>
    <row r="65" spans="1:12" ht="114">
      <c r="A65" s="3" t="s">
        <v>31</v>
      </c>
      <c r="B65" s="3" t="s">
        <v>32</v>
      </c>
      <c r="C65" s="3" t="s">
        <v>33</v>
      </c>
      <c r="D65" s="3" t="s">
        <v>33</v>
      </c>
      <c r="E65" s="12">
        <v>45748</v>
      </c>
      <c r="F65" s="3">
        <v>1148999</v>
      </c>
      <c r="G65" s="3">
        <v>5211.8599999999997</v>
      </c>
      <c r="H65" s="3">
        <v>6328.69</v>
      </c>
      <c r="I65" s="3" t="s">
        <v>76</v>
      </c>
      <c r="J65" s="3" t="s">
        <v>77</v>
      </c>
      <c r="K65" s="3" t="s">
        <v>78</v>
      </c>
      <c r="L65" s="3" t="s">
        <v>79</v>
      </c>
    </row>
    <row r="66" spans="1:12" ht="114">
      <c r="A66" s="3" t="s">
        <v>31</v>
      </c>
      <c r="B66" s="3" t="s">
        <v>32</v>
      </c>
      <c r="C66" s="3" t="s">
        <v>33</v>
      </c>
      <c r="D66" s="3" t="s">
        <v>33</v>
      </c>
      <c r="E66" s="12">
        <v>45778</v>
      </c>
      <c r="F66" s="3">
        <v>1286017</v>
      </c>
      <c r="G66" s="3">
        <v>5833.37</v>
      </c>
      <c r="H66" s="3">
        <v>7083.38</v>
      </c>
      <c r="I66" s="3" t="s">
        <v>80</v>
      </c>
      <c r="J66" s="3" t="s">
        <v>77</v>
      </c>
      <c r="K66" s="3" t="s">
        <v>78</v>
      </c>
      <c r="L66" s="3" t="s">
        <v>79</v>
      </c>
    </row>
    <row r="67" spans="1:12" ht="114">
      <c r="A67" s="3" t="s">
        <v>31</v>
      </c>
      <c r="B67" s="3" t="s">
        <v>32</v>
      </c>
      <c r="C67" s="3" t="s">
        <v>33</v>
      </c>
      <c r="D67" s="3" t="s">
        <v>33</v>
      </c>
      <c r="E67" s="12">
        <v>45809</v>
      </c>
      <c r="F67" s="3">
        <v>1417888</v>
      </c>
      <c r="G67" s="3">
        <v>6431.54</v>
      </c>
      <c r="H67" s="3">
        <v>7809.73</v>
      </c>
      <c r="I67" s="3" t="s">
        <v>80</v>
      </c>
      <c r="J67" s="3" t="s">
        <v>77</v>
      </c>
      <c r="K67" s="3" t="s">
        <v>78</v>
      </c>
      <c r="L67" s="3" t="s">
        <v>79</v>
      </c>
    </row>
    <row r="68" spans="1:12" ht="114">
      <c r="A68" s="3" t="s">
        <v>31</v>
      </c>
      <c r="B68" s="3" t="s">
        <v>32</v>
      </c>
      <c r="C68" s="3" t="s">
        <v>33</v>
      </c>
      <c r="D68" s="3" t="s">
        <v>33</v>
      </c>
      <c r="E68" s="12">
        <v>45839</v>
      </c>
      <c r="F68" s="3">
        <v>1495952</v>
      </c>
      <c r="G68" s="3">
        <v>6785.64</v>
      </c>
      <c r="H68" s="3">
        <v>8239.7000000000007</v>
      </c>
      <c r="I68" s="3" t="s">
        <v>80</v>
      </c>
      <c r="J68" s="3" t="s">
        <v>77</v>
      </c>
      <c r="K68" s="3" t="s">
        <v>78</v>
      </c>
      <c r="L68" s="3" t="s">
        <v>79</v>
      </c>
    </row>
    <row r="69" spans="1:12" ht="114">
      <c r="A69" s="3" t="s">
        <v>31</v>
      </c>
      <c r="B69" s="3" t="s">
        <v>32</v>
      </c>
      <c r="C69" s="3" t="s">
        <v>33</v>
      </c>
      <c r="D69" s="3" t="s">
        <v>33</v>
      </c>
      <c r="E69" s="12">
        <v>45870</v>
      </c>
      <c r="F69" s="3">
        <v>1450750</v>
      </c>
      <c r="G69" s="3">
        <v>6580.6</v>
      </c>
      <c r="H69" s="3">
        <v>7990.73</v>
      </c>
      <c r="I69" s="3" t="s">
        <v>80</v>
      </c>
      <c r="J69" s="3" t="s">
        <v>77</v>
      </c>
      <c r="K69" s="3" t="s">
        <v>78</v>
      </c>
      <c r="L69" s="3" t="s">
        <v>79</v>
      </c>
    </row>
    <row r="70" spans="1:12" ht="114">
      <c r="A70" s="3" t="s">
        <v>31</v>
      </c>
      <c r="B70" s="3" t="s">
        <v>32</v>
      </c>
      <c r="C70" s="3" t="s">
        <v>33</v>
      </c>
      <c r="D70" s="3" t="s">
        <v>33</v>
      </c>
      <c r="E70" s="12">
        <v>45901</v>
      </c>
      <c r="F70" s="3">
        <v>1233940</v>
      </c>
      <c r="G70" s="3">
        <v>5597.15</v>
      </c>
      <c r="H70" s="3">
        <v>6796.54</v>
      </c>
      <c r="I70" s="3" t="s">
        <v>80</v>
      </c>
      <c r="J70" s="3" t="s">
        <v>77</v>
      </c>
      <c r="K70" s="3" t="s">
        <v>78</v>
      </c>
      <c r="L70" s="3" t="s">
        <v>79</v>
      </c>
    </row>
    <row r="71" spans="1:12" ht="114">
      <c r="A71" s="3" t="s">
        <v>31</v>
      </c>
      <c r="B71" s="3" t="s">
        <v>32</v>
      </c>
      <c r="C71" s="3" t="s">
        <v>33</v>
      </c>
      <c r="D71" s="3" t="s">
        <v>33</v>
      </c>
      <c r="E71" s="12">
        <v>45931</v>
      </c>
      <c r="F71" s="3">
        <v>1176627</v>
      </c>
      <c r="G71" s="3">
        <v>5337.18</v>
      </c>
      <c r="H71" s="3">
        <v>6480.86</v>
      </c>
      <c r="I71" s="3" t="s">
        <v>76</v>
      </c>
      <c r="J71" s="3" t="s">
        <v>77</v>
      </c>
      <c r="K71" s="3" t="s">
        <v>78</v>
      </c>
      <c r="L71" s="3" t="s">
        <v>79</v>
      </c>
    </row>
    <row r="72" spans="1:12" ht="114">
      <c r="A72" s="3" t="s">
        <v>31</v>
      </c>
      <c r="B72" s="3" t="s">
        <v>32</v>
      </c>
      <c r="C72" s="3" t="s">
        <v>33</v>
      </c>
      <c r="D72" s="3" t="s">
        <v>33</v>
      </c>
      <c r="E72" s="12">
        <v>45962</v>
      </c>
      <c r="F72" s="3">
        <v>1066028</v>
      </c>
      <c r="G72" s="3">
        <v>4835.5</v>
      </c>
      <c r="H72" s="3">
        <v>5871.68</v>
      </c>
      <c r="I72" s="3" t="s">
        <v>76</v>
      </c>
      <c r="J72" s="3" t="s">
        <v>77</v>
      </c>
      <c r="K72" s="3" t="s">
        <v>78</v>
      </c>
      <c r="L72" s="3" t="s">
        <v>79</v>
      </c>
    </row>
    <row r="73" spans="1:12" ht="114">
      <c r="A73" s="3" t="s">
        <v>31</v>
      </c>
      <c r="B73" s="3" t="s">
        <v>32</v>
      </c>
      <c r="C73" s="3" t="s">
        <v>33</v>
      </c>
      <c r="D73" s="3" t="s">
        <v>33</v>
      </c>
      <c r="E73" s="12">
        <v>45992</v>
      </c>
      <c r="F73" s="3">
        <v>1146835</v>
      </c>
      <c r="G73" s="3">
        <v>5202.04</v>
      </c>
      <c r="H73" s="3">
        <v>6316.77</v>
      </c>
      <c r="I73" s="3" t="s">
        <v>76</v>
      </c>
      <c r="J73" s="3" t="s">
        <v>77</v>
      </c>
      <c r="K73" s="3" t="s">
        <v>78</v>
      </c>
      <c r="L73" s="3" t="s">
        <v>79</v>
      </c>
    </row>
    <row r="74" spans="1:12" ht="114">
      <c r="A74" s="3" t="s">
        <v>34</v>
      </c>
      <c r="B74" s="3" t="s">
        <v>35</v>
      </c>
      <c r="C74" s="3" t="s">
        <v>36</v>
      </c>
      <c r="D74" s="3" t="s">
        <v>37</v>
      </c>
      <c r="E74" s="12">
        <v>45658</v>
      </c>
      <c r="F74" s="3">
        <v>592304</v>
      </c>
      <c r="G74" s="3">
        <v>2413.0500000000002</v>
      </c>
      <c r="H74" s="3">
        <v>2930.13</v>
      </c>
      <c r="I74" s="3" t="s">
        <v>76</v>
      </c>
      <c r="J74" s="3" t="s">
        <v>77</v>
      </c>
      <c r="K74" s="3" t="s">
        <v>78</v>
      </c>
      <c r="L74" s="3" t="s">
        <v>79</v>
      </c>
    </row>
    <row r="75" spans="1:12" ht="114">
      <c r="A75" s="3" t="s">
        <v>34</v>
      </c>
      <c r="B75" s="3" t="s">
        <v>35</v>
      </c>
      <c r="C75" s="3" t="s">
        <v>36</v>
      </c>
      <c r="D75" s="3" t="s">
        <v>37</v>
      </c>
      <c r="E75" s="12">
        <v>45689</v>
      </c>
      <c r="F75" s="3">
        <v>492120</v>
      </c>
      <c r="G75" s="3">
        <v>2004.9</v>
      </c>
      <c r="H75" s="3">
        <v>2434.52</v>
      </c>
      <c r="I75" s="3" t="s">
        <v>76</v>
      </c>
      <c r="J75" s="3" t="s">
        <v>77</v>
      </c>
      <c r="K75" s="3" t="s">
        <v>78</v>
      </c>
      <c r="L75" s="3" t="s">
        <v>79</v>
      </c>
    </row>
    <row r="76" spans="1:12" ht="114">
      <c r="A76" s="3" t="s">
        <v>34</v>
      </c>
      <c r="B76" s="3" t="s">
        <v>35</v>
      </c>
      <c r="C76" s="3" t="s">
        <v>36</v>
      </c>
      <c r="D76" s="3" t="s">
        <v>37</v>
      </c>
      <c r="E76" s="12">
        <v>45717</v>
      </c>
      <c r="F76" s="3">
        <v>602402</v>
      </c>
      <c r="G76" s="3">
        <v>2454.19</v>
      </c>
      <c r="H76" s="3">
        <v>2980.08</v>
      </c>
      <c r="I76" s="3" t="s">
        <v>76</v>
      </c>
      <c r="J76" s="3" t="s">
        <v>77</v>
      </c>
      <c r="K76" s="3" t="s">
        <v>78</v>
      </c>
      <c r="L76" s="3" t="s">
        <v>79</v>
      </c>
    </row>
    <row r="77" spans="1:12" ht="114">
      <c r="A77" s="3" t="s">
        <v>34</v>
      </c>
      <c r="B77" s="3" t="s">
        <v>35</v>
      </c>
      <c r="C77" s="3" t="s">
        <v>36</v>
      </c>
      <c r="D77" s="3" t="s">
        <v>37</v>
      </c>
      <c r="E77" s="12">
        <v>45748</v>
      </c>
      <c r="F77" s="3">
        <v>590560</v>
      </c>
      <c r="G77" s="3">
        <v>2405.94</v>
      </c>
      <c r="H77" s="3">
        <v>2921.5</v>
      </c>
      <c r="I77" s="3" t="s">
        <v>76</v>
      </c>
      <c r="J77" s="3" t="s">
        <v>77</v>
      </c>
      <c r="K77" s="3" t="s">
        <v>78</v>
      </c>
      <c r="L77" s="3" t="s">
        <v>79</v>
      </c>
    </row>
    <row r="78" spans="1:12" ht="114">
      <c r="A78" s="3" t="s">
        <v>34</v>
      </c>
      <c r="B78" s="3" t="s">
        <v>35</v>
      </c>
      <c r="C78" s="3" t="s">
        <v>36</v>
      </c>
      <c r="D78" s="3" t="s">
        <v>37</v>
      </c>
      <c r="E78" s="12">
        <v>45778</v>
      </c>
      <c r="F78" s="3">
        <v>677759</v>
      </c>
      <c r="G78" s="3">
        <v>2761.19</v>
      </c>
      <c r="H78" s="3">
        <v>3352.88</v>
      </c>
      <c r="I78" s="3" t="s">
        <v>80</v>
      </c>
      <c r="J78" s="3" t="s">
        <v>77</v>
      </c>
      <c r="K78" s="3" t="s">
        <v>78</v>
      </c>
      <c r="L78" s="3" t="s">
        <v>79</v>
      </c>
    </row>
    <row r="79" spans="1:12" ht="114">
      <c r="A79" s="3" t="s">
        <v>34</v>
      </c>
      <c r="B79" s="3" t="s">
        <v>35</v>
      </c>
      <c r="C79" s="3" t="s">
        <v>36</v>
      </c>
      <c r="D79" s="3" t="s">
        <v>37</v>
      </c>
      <c r="E79" s="12">
        <v>45809</v>
      </c>
      <c r="F79" s="3">
        <v>727418</v>
      </c>
      <c r="G79" s="3">
        <v>2963.5</v>
      </c>
      <c r="H79" s="3">
        <v>3598.54</v>
      </c>
      <c r="I79" s="3" t="s">
        <v>80</v>
      </c>
      <c r="J79" s="3" t="s">
        <v>77</v>
      </c>
      <c r="K79" s="3" t="s">
        <v>78</v>
      </c>
      <c r="L79" s="3" t="s">
        <v>79</v>
      </c>
    </row>
    <row r="80" spans="1:12" ht="114">
      <c r="A80" s="3" t="s">
        <v>34</v>
      </c>
      <c r="B80" s="3" t="s">
        <v>35</v>
      </c>
      <c r="C80" s="3" t="s">
        <v>36</v>
      </c>
      <c r="D80" s="3" t="s">
        <v>37</v>
      </c>
      <c r="E80" s="12">
        <v>45839</v>
      </c>
      <c r="F80" s="3">
        <v>786560</v>
      </c>
      <c r="G80" s="3">
        <v>3204.45</v>
      </c>
      <c r="H80" s="3">
        <v>3891.11</v>
      </c>
      <c r="I80" s="3" t="s">
        <v>80</v>
      </c>
      <c r="J80" s="3" t="s">
        <v>77</v>
      </c>
      <c r="K80" s="3" t="s">
        <v>78</v>
      </c>
      <c r="L80" s="3" t="s">
        <v>79</v>
      </c>
    </row>
    <row r="81" spans="1:12" ht="114">
      <c r="A81" s="3" t="s">
        <v>34</v>
      </c>
      <c r="B81" s="3" t="s">
        <v>35</v>
      </c>
      <c r="C81" s="3" t="s">
        <v>36</v>
      </c>
      <c r="D81" s="3" t="s">
        <v>37</v>
      </c>
      <c r="E81" s="12">
        <v>45870</v>
      </c>
      <c r="F81" s="3">
        <v>772661</v>
      </c>
      <c r="G81" s="3">
        <v>3147.82</v>
      </c>
      <c r="H81" s="3">
        <v>3822.35</v>
      </c>
      <c r="I81" s="3" t="s">
        <v>80</v>
      </c>
      <c r="J81" s="3" t="s">
        <v>77</v>
      </c>
      <c r="K81" s="3" t="s">
        <v>78</v>
      </c>
      <c r="L81" s="3" t="s">
        <v>79</v>
      </c>
    </row>
    <row r="82" spans="1:12" ht="114">
      <c r="A82" s="3" t="s">
        <v>34</v>
      </c>
      <c r="B82" s="3" t="s">
        <v>35</v>
      </c>
      <c r="C82" s="3" t="s">
        <v>36</v>
      </c>
      <c r="D82" s="3" t="s">
        <v>37</v>
      </c>
      <c r="E82" s="12">
        <v>45901</v>
      </c>
      <c r="F82" s="3">
        <v>658428</v>
      </c>
      <c r="G82" s="3">
        <v>2682.43</v>
      </c>
      <c r="H82" s="3">
        <v>3257.24</v>
      </c>
      <c r="I82" s="3" t="s">
        <v>80</v>
      </c>
      <c r="J82" s="3" t="s">
        <v>77</v>
      </c>
      <c r="K82" s="3" t="s">
        <v>78</v>
      </c>
      <c r="L82" s="3" t="s">
        <v>79</v>
      </c>
    </row>
    <row r="83" spans="1:12" ht="114">
      <c r="A83" s="3" t="s">
        <v>34</v>
      </c>
      <c r="B83" s="3" t="s">
        <v>35</v>
      </c>
      <c r="C83" s="3" t="s">
        <v>36</v>
      </c>
      <c r="D83" s="3" t="s">
        <v>37</v>
      </c>
      <c r="E83" s="12">
        <v>45931</v>
      </c>
      <c r="F83" s="3">
        <v>616865</v>
      </c>
      <c r="G83" s="3">
        <v>2513.11</v>
      </c>
      <c r="H83" s="3">
        <v>3051.63</v>
      </c>
      <c r="I83" s="3" t="s">
        <v>76</v>
      </c>
      <c r="J83" s="3" t="s">
        <v>77</v>
      </c>
      <c r="K83" s="3" t="s">
        <v>78</v>
      </c>
      <c r="L83" s="3" t="s">
        <v>79</v>
      </c>
    </row>
    <row r="84" spans="1:12" ht="114">
      <c r="A84" s="3" t="s">
        <v>34</v>
      </c>
      <c r="B84" s="3" t="s">
        <v>35</v>
      </c>
      <c r="C84" s="3" t="s">
        <v>36</v>
      </c>
      <c r="D84" s="3" t="s">
        <v>37</v>
      </c>
      <c r="E84" s="12">
        <v>45962</v>
      </c>
      <c r="F84" s="3">
        <v>574003</v>
      </c>
      <c r="G84" s="3">
        <v>2338.4899999999998</v>
      </c>
      <c r="H84" s="3">
        <v>2839.59</v>
      </c>
      <c r="I84" s="3" t="s">
        <v>76</v>
      </c>
      <c r="J84" s="3" t="s">
        <v>77</v>
      </c>
      <c r="K84" s="3" t="s">
        <v>78</v>
      </c>
      <c r="L84" s="3" t="s">
        <v>79</v>
      </c>
    </row>
    <row r="85" spans="1:12" ht="114">
      <c r="A85" s="3" t="s">
        <v>34</v>
      </c>
      <c r="B85" s="3" t="s">
        <v>35</v>
      </c>
      <c r="C85" s="3" t="s">
        <v>36</v>
      </c>
      <c r="D85" s="3" t="s">
        <v>37</v>
      </c>
      <c r="E85" s="12">
        <v>45992</v>
      </c>
      <c r="F85" s="3">
        <v>599618</v>
      </c>
      <c r="G85" s="3">
        <v>2442.84</v>
      </c>
      <c r="H85" s="3">
        <v>2966.31</v>
      </c>
      <c r="I85" s="3" t="s">
        <v>76</v>
      </c>
      <c r="J85" s="3" t="s">
        <v>77</v>
      </c>
      <c r="K85" s="3" t="s">
        <v>78</v>
      </c>
      <c r="L85" s="3" t="s">
        <v>79</v>
      </c>
    </row>
    <row r="86" spans="1:12" ht="114">
      <c r="A86" s="3" t="s">
        <v>38</v>
      </c>
      <c r="B86" s="3" t="s">
        <v>39</v>
      </c>
      <c r="C86" s="3" t="s">
        <v>40</v>
      </c>
      <c r="D86" s="3" t="s">
        <v>40</v>
      </c>
      <c r="E86" s="12">
        <v>45658</v>
      </c>
      <c r="F86" s="3">
        <v>525236</v>
      </c>
      <c r="G86" s="3">
        <v>2095.69</v>
      </c>
      <c r="H86" s="3">
        <v>2544.77</v>
      </c>
      <c r="I86" s="3" t="s">
        <v>76</v>
      </c>
      <c r="J86" s="3" t="s">
        <v>77</v>
      </c>
      <c r="K86" s="3" t="s">
        <v>78</v>
      </c>
      <c r="L86" s="3" t="s">
        <v>79</v>
      </c>
    </row>
    <row r="87" spans="1:12" ht="114">
      <c r="A87" s="3" t="s">
        <v>38</v>
      </c>
      <c r="B87" s="3" t="s">
        <v>39</v>
      </c>
      <c r="C87" s="3" t="s">
        <v>40</v>
      </c>
      <c r="D87" s="3" t="s">
        <v>40</v>
      </c>
      <c r="E87" s="12">
        <v>45689</v>
      </c>
      <c r="F87" s="3">
        <v>448020</v>
      </c>
      <c r="G87" s="3">
        <v>1787.6</v>
      </c>
      <c r="H87" s="3">
        <v>2170.66</v>
      </c>
      <c r="I87" s="3" t="s">
        <v>76</v>
      </c>
      <c r="J87" s="3" t="s">
        <v>77</v>
      </c>
      <c r="K87" s="3" t="s">
        <v>78</v>
      </c>
      <c r="L87" s="3" t="s">
        <v>79</v>
      </c>
    </row>
    <row r="88" spans="1:12" ht="114">
      <c r="A88" s="3" t="s">
        <v>38</v>
      </c>
      <c r="B88" s="3" t="s">
        <v>39</v>
      </c>
      <c r="C88" s="3" t="s">
        <v>40</v>
      </c>
      <c r="D88" s="3" t="s">
        <v>40</v>
      </c>
      <c r="E88" s="12">
        <v>45717</v>
      </c>
      <c r="F88" s="3">
        <v>565233</v>
      </c>
      <c r="G88" s="3">
        <v>2255.2800000000002</v>
      </c>
      <c r="H88" s="3">
        <v>2738.55</v>
      </c>
      <c r="I88" s="3" t="s">
        <v>76</v>
      </c>
      <c r="J88" s="3" t="s">
        <v>77</v>
      </c>
      <c r="K88" s="3" t="s">
        <v>78</v>
      </c>
      <c r="L88" s="3" t="s">
        <v>79</v>
      </c>
    </row>
    <row r="89" spans="1:12" ht="114">
      <c r="A89" s="3" t="s">
        <v>38</v>
      </c>
      <c r="B89" s="3" t="s">
        <v>39</v>
      </c>
      <c r="C89" s="3" t="s">
        <v>40</v>
      </c>
      <c r="D89" s="3" t="s">
        <v>40</v>
      </c>
      <c r="E89" s="12">
        <v>45748</v>
      </c>
      <c r="F89" s="3">
        <v>545646</v>
      </c>
      <c r="G89" s="3">
        <v>2177.13</v>
      </c>
      <c r="H89" s="3">
        <v>2643.65</v>
      </c>
      <c r="I89" s="3" t="s">
        <v>76</v>
      </c>
      <c r="J89" s="3" t="s">
        <v>77</v>
      </c>
      <c r="K89" s="3" t="s">
        <v>78</v>
      </c>
      <c r="L89" s="3" t="s">
        <v>79</v>
      </c>
    </row>
    <row r="90" spans="1:12" ht="114">
      <c r="A90" s="3" t="s">
        <v>38</v>
      </c>
      <c r="B90" s="3" t="s">
        <v>39</v>
      </c>
      <c r="C90" s="3" t="s">
        <v>40</v>
      </c>
      <c r="D90" s="3" t="s">
        <v>40</v>
      </c>
      <c r="E90" s="12">
        <v>45778</v>
      </c>
      <c r="F90" s="3">
        <v>574689</v>
      </c>
      <c r="G90" s="3">
        <v>2293.0100000000002</v>
      </c>
      <c r="H90" s="3">
        <v>2784.37</v>
      </c>
      <c r="I90" s="3" t="s">
        <v>80</v>
      </c>
      <c r="J90" s="3" t="s">
        <v>77</v>
      </c>
      <c r="K90" s="3" t="s">
        <v>81</v>
      </c>
      <c r="L90" s="3" t="s">
        <v>79</v>
      </c>
    </row>
    <row r="91" spans="1:12" ht="114">
      <c r="A91" s="3" t="s">
        <v>38</v>
      </c>
      <c r="B91" s="3" t="s">
        <v>39</v>
      </c>
      <c r="C91" s="3" t="s">
        <v>40</v>
      </c>
      <c r="D91" s="3" t="s">
        <v>40</v>
      </c>
      <c r="E91" s="12">
        <v>45809</v>
      </c>
      <c r="F91" s="3">
        <v>619587</v>
      </c>
      <c r="G91" s="3">
        <v>2472.15</v>
      </c>
      <c r="H91" s="3">
        <v>3001.9</v>
      </c>
      <c r="I91" s="3" t="s">
        <v>80</v>
      </c>
      <c r="J91" s="3" t="s">
        <v>77</v>
      </c>
      <c r="K91" s="3" t="s">
        <v>78</v>
      </c>
      <c r="L91" s="3" t="s">
        <v>79</v>
      </c>
    </row>
    <row r="92" spans="1:12" ht="114">
      <c r="A92" s="3" t="s">
        <v>38</v>
      </c>
      <c r="B92" s="3" t="s">
        <v>39</v>
      </c>
      <c r="C92" s="3" t="s">
        <v>40</v>
      </c>
      <c r="D92" s="3" t="s">
        <v>40</v>
      </c>
      <c r="E92" s="12">
        <v>45839</v>
      </c>
      <c r="F92" s="3">
        <v>682282</v>
      </c>
      <c r="G92" s="3">
        <v>2722.3</v>
      </c>
      <c r="H92" s="3">
        <v>3305.65</v>
      </c>
      <c r="I92" s="3" t="s">
        <v>80</v>
      </c>
      <c r="J92" s="3" t="s">
        <v>77</v>
      </c>
      <c r="K92" s="3" t="s">
        <v>78</v>
      </c>
      <c r="L92" s="3" t="s">
        <v>79</v>
      </c>
    </row>
    <row r="93" spans="1:12" ht="114">
      <c r="A93" s="3" t="s">
        <v>38</v>
      </c>
      <c r="B93" s="3" t="s">
        <v>39</v>
      </c>
      <c r="C93" s="3" t="s">
        <v>40</v>
      </c>
      <c r="D93" s="3" t="s">
        <v>40</v>
      </c>
      <c r="E93" s="12">
        <v>45870</v>
      </c>
      <c r="F93" s="3">
        <v>696104</v>
      </c>
      <c r="G93" s="3">
        <v>2777.46</v>
      </c>
      <c r="H93" s="3">
        <v>3372.63</v>
      </c>
      <c r="I93" s="3" t="s">
        <v>80</v>
      </c>
      <c r="J93" s="3" t="s">
        <v>77</v>
      </c>
      <c r="K93" s="3" t="s">
        <v>78</v>
      </c>
      <c r="L93" s="3" t="s">
        <v>79</v>
      </c>
    </row>
    <row r="94" spans="1:12" ht="114">
      <c r="A94" s="3" t="s">
        <v>38</v>
      </c>
      <c r="B94" s="3" t="s">
        <v>39</v>
      </c>
      <c r="C94" s="3" t="s">
        <v>40</v>
      </c>
      <c r="D94" s="3" t="s">
        <v>40</v>
      </c>
      <c r="E94" s="12">
        <v>45901</v>
      </c>
      <c r="F94" s="3">
        <v>613210</v>
      </c>
      <c r="G94" s="3">
        <v>2446.71</v>
      </c>
      <c r="H94" s="3">
        <v>2971</v>
      </c>
      <c r="I94" s="3" t="s">
        <v>80</v>
      </c>
      <c r="J94" s="3" t="s">
        <v>77</v>
      </c>
      <c r="K94" s="3" t="s">
        <v>78</v>
      </c>
      <c r="L94" s="3" t="s">
        <v>79</v>
      </c>
    </row>
    <row r="95" spans="1:12" ht="114">
      <c r="A95" s="3" t="s">
        <v>38</v>
      </c>
      <c r="B95" s="3" t="s">
        <v>39</v>
      </c>
      <c r="C95" s="3" t="s">
        <v>40</v>
      </c>
      <c r="D95" s="3" t="s">
        <v>40</v>
      </c>
      <c r="E95" s="12">
        <v>45931</v>
      </c>
      <c r="F95" s="3">
        <v>571825</v>
      </c>
      <c r="G95" s="3">
        <v>2281.58</v>
      </c>
      <c r="H95" s="3">
        <v>2770.49</v>
      </c>
      <c r="I95" s="3" t="s">
        <v>76</v>
      </c>
      <c r="J95" s="3" t="s">
        <v>77</v>
      </c>
      <c r="K95" s="3" t="s">
        <v>78</v>
      </c>
      <c r="L95" s="3" t="s">
        <v>79</v>
      </c>
    </row>
    <row r="96" spans="1:12" ht="114">
      <c r="A96" s="3" t="s">
        <v>38</v>
      </c>
      <c r="B96" s="3" t="s">
        <v>39</v>
      </c>
      <c r="C96" s="3" t="s">
        <v>40</v>
      </c>
      <c r="D96" s="3" t="s">
        <v>40</v>
      </c>
      <c r="E96" s="12">
        <v>45962</v>
      </c>
      <c r="F96" s="3">
        <v>507046</v>
      </c>
      <c r="G96" s="3">
        <v>2023.11</v>
      </c>
      <c r="H96" s="3">
        <v>2456.64</v>
      </c>
      <c r="I96" s="3" t="s">
        <v>76</v>
      </c>
      <c r="J96" s="3" t="s">
        <v>77</v>
      </c>
      <c r="K96" s="3" t="s">
        <v>78</v>
      </c>
      <c r="L96" s="3" t="s">
        <v>79</v>
      </c>
    </row>
    <row r="97" spans="1:12" ht="114">
      <c r="A97" s="3" t="s">
        <v>38</v>
      </c>
      <c r="B97" s="3" t="s">
        <v>39</v>
      </c>
      <c r="C97" s="3" t="s">
        <v>40</v>
      </c>
      <c r="D97" s="3" t="s">
        <v>40</v>
      </c>
      <c r="E97" s="12">
        <v>45992</v>
      </c>
      <c r="F97" s="3">
        <v>530280</v>
      </c>
      <c r="G97" s="3">
        <v>2115.8200000000002</v>
      </c>
      <c r="H97" s="3">
        <v>2569.1999999999998</v>
      </c>
      <c r="I97" s="3" t="s">
        <v>76</v>
      </c>
      <c r="J97" s="3" t="s">
        <v>77</v>
      </c>
      <c r="K97" s="3" t="s">
        <v>78</v>
      </c>
      <c r="L97" s="3" t="s">
        <v>79</v>
      </c>
    </row>
    <row r="98" spans="1:12" ht="114">
      <c r="A98" s="3" t="s">
        <v>41</v>
      </c>
      <c r="B98" s="3" t="s">
        <v>42</v>
      </c>
      <c r="C98" s="3" t="s">
        <v>13</v>
      </c>
      <c r="D98" s="3" t="s">
        <v>14</v>
      </c>
      <c r="E98" s="12">
        <v>45658</v>
      </c>
      <c r="F98" s="3">
        <v>674262</v>
      </c>
      <c r="G98" s="3">
        <v>2973.5</v>
      </c>
      <c r="H98" s="3">
        <v>3610.67</v>
      </c>
      <c r="I98" s="3" t="s">
        <v>76</v>
      </c>
      <c r="J98" s="3" t="s">
        <v>77</v>
      </c>
      <c r="K98" s="3" t="s">
        <v>78</v>
      </c>
      <c r="L98" s="3" t="s">
        <v>79</v>
      </c>
    </row>
    <row r="99" spans="1:12" ht="114">
      <c r="A99" s="3" t="s">
        <v>41</v>
      </c>
      <c r="B99" s="3" t="s">
        <v>42</v>
      </c>
      <c r="C99" s="3" t="s">
        <v>13</v>
      </c>
      <c r="D99" s="3" t="s">
        <v>14</v>
      </c>
      <c r="E99" s="12">
        <v>45689</v>
      </c>
      <c r="F99" s="3">
        <v>564128</v>
      </c>
      <c r="G99" s="3">
        <v>2487.8000000000002</v>
      </c>
      <c r="H99" s="3">
        <v>3020.91</v>
      </c>
      <c r="I99" s="3" t="s">
        <v>76</v>
      </c>
      <c r="J99" s="3" t="s">
        <v>77</v>
      </c>
      <c r="K99" s="3" t="s">
        <v>78</v>
      </c>
      <c r="L99" s="3" t="s">
        <v>79</v>
      </c>
    </row>
    <row r="100" spans="1:12" ht="114">
      <c r="A100" s="3" t="s">
        <v>41</v>
      </c>
      <c r="B100" s="3" t="s">
        <v>42</v>
      </c>
      <c r="C100" s="3" t="s">
        <v>13</v>
      </c>
      <c r="D100" s="3" t="s">
        <v>14</v>
      </c>
      <c r="E100" s="12">
        <v>45717</v>
      </c>
      <c r="F100" s="3">
        <v>695069</v>
      </c>
      <c r="G100" s="3">
        <v>3065.26</v>
      </c>
      <c r="H100" s="3">
        <v>3722.1</v>
      </c>
      <c r="I100" s="3" t="s">
        <v>76</v>
      </c>
      <c r="J100" s="3" t="s">
        <v>77</v>
      </c>
      <c r="K100" s="3" t="s">
        <v>78</v>
      </c>
      <c r="L100" s="3" t="s">
        <v>79</v>
      </c>
    </row>
    <row r="101" spans="1:12" ht="114">
      <c r="A101" s="3" t="s">
        <v>41</v>
      </c>
      <c r="B101" s="3" t="s">
        <v>42</v>
      </c>
      <c r="C101" s="3" t="s">
        <v>13</v>
      </c>
      <c r="D101" s="3" t="s">
        <v>14</v>
      </c>
      <c r="E101" s="12">
        <v>45748</v>
      </c>
      <c r="F101" s="3">
        <v>688703</v>
      </c>
      <c r="G101" s="3">
        <v>3037.18</v>
      </c>
      <c r="H101" s="3">
        <v>3688</v>
      </c>
      <c r="I101" s="3" t="s">
        <v>76</v>
      </c>
      <c r="J101" s="3" t="s">
        <v>77</v>
      </c>
      <c r="K101" s="3" t="s">
        <v>78</v>
      </c>
      <c r="L101" s="3" t="s">
        <v>79</v>
      </c>
    </row>
    <row r="102" spans="1:12" ht="114">
      <c r="A102" s="3" t="s">
        <v>41</v>
      </c>
      <c r="B102" s="3" t="s">
        <v>42</v>
      </c>
      <c r="C102" s="3" t="s">
        <v>13</v>
      </c>
      <c r="D102" s="3" t="s">
        <v>14</v>
      </c>
      <c r="E102" s="12">
        <v>45778</v>
      </c>
      <c r="F102" s="3">
        <v>718278</v>
      </c>
      <c r="G102" s="3">
        <v>3167.61</v>
      </c>
      <c r="H102" s="3">
        <v>3846.38</v>
      </c>
      <c r="I102" s="3" t="s">
        <v>80</v>
      </c>
      <c r="J102" s="3" t="s">
        <v>77</v>
      </c>
      <c r="K102" s="3" t="s">
        <v>78</v>
      </c>
      <c r="L102" s="3" t="s">
        <v>79</v>
      </c>
    </row>
    <row r="103" spans="1:12" ht="114">
      <c r="A103" s="3" t="s">
        <v>41</v>
      </c>
      <c r="B103" s="3" t="s">
        <v>42</v>
      </c>
      <c r="C103" s="3" t="s">
        <v>13</v>
      </c>
      <c r="D103" s="3" t="s">
        <v>14</v>
      </c>
      <c r="E103" s="12">
        <v>45809</v>
      </c>
      <c r="F103" s="3">
        <v>836463</v>
      </c>
      <c r="G103" s="3">
        <v>3688.8</v>
      </c>
      <c r="H103" s="3">
        <v>4479.26</v>
      </c>
      <c r="I103" s="3" t="s">
        <v>80</v>
      </c>
      <c r="J103" s="3" t="s">
        <v>77</v>
      </c>
      <c r="K103" s="3" t="s">
        <v>78</v>
      </c>
      <c r="L103" s="3" t="s">
        <v>79</v>
      </c>
    </row>
    <row r="104" spans="1:12" ht="114">
      <c r="A104" s="3" t="s">
        <v>41</v>
      </c>
      <c r="B104" s="3" t="s">
        <v>42</v>
      </c>
      <c r="C104" s="3" t="s">
        <v>13</v>
      </c>
      <c r="D104" s="3" t="s">
        <v>14</v>
      </c>
      <c r="E104" s="12">
        <v>45839</v>
      </c>
      <c r="F104" s="3">
        <v>914492</v>
      </c>
      <c r="G104" s="3">
        <v>4032.91</v>
      </c>
      <c r="H104" s="3">
        <v>4897.1000000000004</v>
      </c>
      <c r="I104" s="3" t="s">
        <v>80</v>
      </c>
      <c r="J104" s="3" t="s">
        <v>77</v>
      </c>
      <c r="K104" s="3" t="s">
        <v>78</v>
      </c>
      <c r="L104" s="3" t="s">
        <v>79</v>
      </c>
    </row>
    <row r="105" spans="1:12" ht="114">
      <c r="A105" s="3" t="s">
        <v>41</v>
      </c>
      <c r="B105" s="3" t="s">
        <v>42</v>
      </c>
      <c r="C105" s="3" t="s">
        <v>13</v>
      </c>
      <c r="D105" s="3" t="s">
        <v>14</v>
      </c>
      <c r="E105" s="12">
        <v>45870</v>
      </c>
      <c r="F105" s="3">
        <v>890501</v>
      </c>
      <c r="G105" s="3">
        <v>3927.11</v>
      </c>
      <c r="H105" s="3">
        <v>4768.63</v>
      </c>
      <c r="I105" s="3" t="s">
        <v>80</v>
      </c>
      <c r="J105" s="3" t="s">
        <v>77</v>
      </c>
      <c r="K105" s="3" t="s">
        <v>78</v>
      </c>
      <c r="L105" s="3" t="s">
        <v>79</v>
      </c>
    </row>
    <row r="106" spans="1:12" ht="114">
      <c r="A106" s="3" t="s">
        <v>41</v>
      </c>
      <c r="B106" s="3" t="s">
        <v>42</v>
      </c>
      <c r="C106" s="3" t="s">
        <v>13</v>
      </c>
      <c r="D106" s="3" t="s">
        <v>14</v>
      </c>
      <c r="E106" s="12">
        <v>45901</v>
      </c>
      <c r="F106" s="3">
        <v>728200</v>
      </c>
      <c r="G106" s="3">
        <v>3211.36</v>
      </c>
      <c r="H106" s="3">
        <v>3899.51</v>
      </c>
      <c r="I106" s="3" t="s">
        <v>80</v>
      </c>
      <c r="J106" s="3" t="s">
        <v>77</v>
      </c>
      <c r="K106" s="3" t="s">
        <v>78</v>
      </c>
      <c r="L106" s="3" t="s">
        <v>79</v>
      </c>
    </row>
    <row r="107" spans="1:12" ht="114">
      <c r="A107" s="3" t="s">
        <v>41</v>
      </c>
      <c r="B107" s="3" t="s">
        <v>42</v>
      </c>
      <c r="C107" s="3" t="s">
        <v>13</v>
      </c>
      <c r="D107" s="3" t="s">
        <v>14</v>
      </c>
      <c r="E107" s="12">
        <v>45931</v>
      </c>
      <c r="F107" s="3">
        <v>715284</v>
      </c>
      <c r="G107" s="3">
        <v>3154.4</v>
      </c>
      <c r="H107" s="3">
        <v>3830.35</v>
      </c>
      <c r="I107" s="3" t="s">
        <v>76</v>
      </c>
      <c r="J107" s="3" t="s">
        <v>77</v>
      </c>
      <c r="K107" s="3" t="s">
        <v>78</v>
      </c>
      <c r="L107" s="3" t="s">
        <v>79</v>
      </c>
    </row>
    <row r="108" spans="1:12" ht="114">
      <c r="A108" s="3" t="s">
        <v>41</v>
      </c>
      <c r="B108" s="3" t="s">
        <v>42</v>
      </c>
      <c r="C108" s="3" t="s">
        <v>13</v>
      </c>
      <c r="D108" s="3" t="s">
        <v>14</v>
      </c>
      <c r="E108" s="12">
        <v>45962</v>
      </c>
      <c r="F108" s="3">
        <v>626800</v>
      </c>
      <c r="G108" s="3">
        <v>2764.19</v>
      </c>
      <c r="H108" s="3">
        <v>3356.52</v>
      </c>
      <c r="I108" s="3" t="s">
        <v>76</v>
      </c>
      <c r="J108" s="3" t="s">
        <v>77</v>
      </c>
      <c r="K108" s="3" t="s">
        <v>78</v>
      </c>
      <c r="L108" s="3" t="s">
        <v>79</v>
      </c>
    </row>
    <row r="109" spans="1:12" ht="114">
      <c r="A109" s="3" t="s">
        <v>41</v>
      </c>
      <c r="B109" s="3" t="s">
        <v>42</v>
      </c>
      <c r="C109" s="3" t="s">
        <v>13</v>
      </c>
      <c r="D109" s="3" t="s">
        <v>14</v>
      </c>
      <c r="E109" s="12">
        <v>45992</v>
      </c>
      <c r="F109" s="3">
        <v>655707</v>
      </c>
      <c r="G109" s="3">
        <v>2891.67</v>
      </c>
      <c r="H109" s="3">
        <v>3511.31</v>
      </c>
      <c r="I109" s="3" t="s">
        <v>76</v>
      </c>
      <c r="J109" s="3" t="s">
        <v>77</v>
      </c>
      <c r="K109" s="3" t="s">
        <v>78</v>
      </c>
      <c r="L109" s="3" t="s">
        <v>79</v>
      </c>
    </row>
    <row r="110" spans="1:12" ht="114">
      <c r="A110" s="3" t="s">
        <v>43</v>
      </c>
      <c r="B110" s="3" t="s">
        <v>44</v>
      </c>
      <c r="C110" s="3" t="s">
        <v>45</v>
      </c>
      <c r="D110" s="3" t="s">
        <v>45</v>
      </c>
      <c r="E110" s="12">
        <v>45658</v>
      </c>
      <c r="F110" s="3">
        <v>883113</v>
      </c>
      <c r="G110" s="3">
        <v>3968.71</v>
      </c>
      <c r="H110" s="3">
        <v>4819.1499999999996</v>
      </c>
      <c r="I110" s="3" t="s">
        <v>76</v>
      </c>
      <c r="J110" s="3" t="s">
        <v>77</v>
      </c>
      <c r="K110" s="3" t="s">
        <v>78</v>
      </c>
      <c r="L110" s="3" t="s">
        <v>79</v>
      </c>
    </row>
    <row r="111" spans="1:12" ht="114">
      <c r="A111" s="3" t="s">
        <v>43</v>
      </c>
      <c r="B111" s="3" t="s">
        <v>44</v>
      </c>
      <c r="C111" s="3" t="s">
        <v>45</v>
      </c>
      <c r="D111" s="3" t="s">
        <v>45</v>
      </c>
      <c r="E111" s="12">
        <v>45689</v>
      </c>
      <c r="F111" s="3">
        <v>789765</v>
      </c>
      <c r="G111" s="3">
        <v>3549.21</v>
      </c>
      <c r="H111" s="3">
        <v>4309.75</v>
      </c>
      <c r="I111" s="3" t="s">
        <v>76</v>
      </c>
      <c r="J111" s="3" t="s">
        <v>77</v>
      </c>
      <c r="K111" s="3" t="s">
        <v>78</v>
      </c>
      <c r="L111" s="3" t="s">
        <v>79</v>
      </c>
    </row>
    <row r="112" spans="1:12" ht="114">
      <c r="A112" s="3" t="s">
        <v>43</v>
      </c>
      <c r="B112" s="3" t="s">
        <v>44</v>
      </c>
      <c r="C112" s="3" t="s">
        <v>45</v>
      </c>
      <c r="D112" s="3" t="s">
        <v>45</v>
      </c>
      <c r="E112" s="12">
        <v>45717</v>
      </c>
      <c r="F112" s="3">
        <v>938943</v>
      </c>
      <c r="G112" s="3">
        <v>4219.6099999999997</v>
      </c>
      <c r="H112" s="3">
        <v>5123.8100000000004</v>
      </c>
      <c r="I112" s="3" t="s">
        <v>76</v>
      </c>
      <c r="J112" s="3" t="s">
        <v>77</v>
      </c>
      <c r="K112" s="3" t="s">
        <v>78</v>
      </c>
      <c r="L112" s="3" t="s">
        <v>79</v>
      </c>
    </row>
    <row r="113" spans="1:12" ht="114">
      <c r="A113" s="3" t="s">
        <v>43</v>
      </c>
      <c r="B113" s="3" t="s">
        <v>44</v>
      </c>
      <c r="C113" s="3" t="s">
        <v>45</v>
      </c>
      <c r="D113" s="3" t="s">
        <v>45</v>
      </c>
      <c r="E113" s="12">
        <v>45748</v>
      </c>
      <c r="F113" s="3">
        <v>898193</v>
      </c>
      <c r="G113" s="3">
        <v>4036.48</v>
      </c>
      <c r="H113" s="3">
        <v>4901.4399999999996</v>
      </c>
      <c r="I113" s="3" t="s">
        <v>76</v>
      </c>
      <c r="J113" s="3" t="s">
        <v>77</v>
      </c>
      <c r="K113" s="3" t="s">
        <v>78</v>
      </c>
      <c r="L113" s="3" t="s">
        <v>79</v>
      </c>
    </row>
    <row r="114" spans="1:12" ht="114">
      <c r="A114" s="3" t="s">
        <v>43</v>
      </c>
      <c r="B114" s="3" t="s">
        <v>44</v>
      </c>
      <c r="C114" s="3" t="s">
        <v>45</v>
      </c>
      <c r="D114" s="3" t="s">
        <v>45</v>
      </c>
      <c r="E114" s="12">
        <v>45778</v>
      </c>
      <c r="F114" s="3">
        <v>1011217</v>
      </c>
      <c r="G114" s="3">
        <v>4544.41</v>
      </c>
      <c r="H114" s="3">
        <v>5518.21</v>
      </c>
      <c r="I114" s="3" t="s">
        <v>80</v>
      </c>
      <c r="J114" s="3" t="s">
        <v>77</v>
      </c>
      <c r="K114" s="3" t="s">
        <v>78</v>
      </c>
      <c r="L114" s="3" t="s">
        <v>79</v>
      </c>
    </row>
    <row r="115" spans="1:12" ht="114">
      <c r="A115" s="3" t="s">
        <v>43</v>
      </c>
      <c r="B115" s="3" t="s">
        <v>44</v>
      </c>
      <c r="C115" s="3" t="s">
        <v>45</v>
      </c>
      <c r="D115" s="3" t="s">
        <v>45</v>
      </c>
      <c r="E115" s="12">
        <v>45809</v>
      </c>
      <c r="F115" s="3">
        <v>1094789</v>
      </c>
      <c r="G115" s="3">
        <v>4919.9799999999996</v>
      </c>
      <c r="H115" s="3">
        <v>5974.26</v>
      </c>
      <c r="I115" s="3" t="s">
        <v>80</v>
      </c>
      <c r="J115" s="3" t="s">
        <v>77</v>
      </c>
      <c r="K115" s="3" t="s">
        <v>78</v>
      </c>
      <c r="L115" s="3" t="s">
        <v>79</v>
      </c>
    </row>
    <row r="116" spans="1:12" ht="114">
      <c r="A116" s="3" t="s">
        <v>43</v>
      </c>
      <c r="B116" s="3" t="s">
        <v>44</v>
      </c>
      <c r="C116" s="3" t="s">
        <v>45</v>
      </c>
      <c r="D116" s="3" t="s">
        <v>45</v>
      </c>
      <c r="E116" s="12">
        <v>45839</v>
      </c>
      <c r="F116" s="3">
        <v>1263222</v>
      </c>
      <c r="G116" s="3">
        <v>5676.92</v>
      </c>
      <c r="H116" s="3">
        <v>6893.41</v>
      </c>
      <c r="I116" s="3" t="s">
        <v>80</v>
      </c>
      <c r="J116" s="3" t="s">
        <v>77</v>
      </c>
      <c r="K116" s="3" t="s">
        <v>78</v>
      </c>
      <c r="L116" s="3" t="s">
        <v>79</v>
      </c>
    </row>
    <row r="117" spans="1:12" ht="114">
      <c r="A117" s="3" t="s">
        <v>43</v>
      </c>
      <c r="B117" s="3" t="s">
        <v>44</v>
      </c>
      <c r="C117" s="3" t="s">
        <v>45</v>
      </c>
      <c r="D117" s="3" t="s">
        <v>45</v>
      </c>
      <c r="E117" s="12">
        <v>45870</v>
      </c>
      <c r="F117" s="3">
        <v>1238954</v>
      </c>
      <c r="G117" s="3">
        <v>5567.86</v>
      </c>
      <c r="H117" s="3">
        <v>6760.97</v>
      </c>
      <c r="I117" s="3" t="s">
        <v>80</v>
      </c>
      <c r="J117" s="3" t="s">
        <v>77</v>
      </c>
      <c r="K117" s="3" t="s">
        <v>78</v>
      </c>
      <c r="L117" s="3" t="s">
        <v>79</v>
      </c>
    </row>
    <row r="118" spans="1:12" ht="114">
      <c r="A118" s="3" t="s">
        <v>43</v>
      </c>
      <c r="B118" s="3" t="s">
        <v>44</v>
      </c>
      <c r="C118" s="3" t="s">
        <v>45</v>
      </c>
      <c r="D118" s="3" t="s">
        <v>45</v>
      </c>
      <c r="E118" s="12">
        <v>45901</v>
      </c>
      <c r="F118" s="3">
        <v>992315</v>
      </c>
      <c r="G118" s="3">
        <v>4459.46</v>
      </c>
      <c r="H118" s="3">
        <v>5415.06</v>
      </c>
      <c r="I118" s="3" t="s">
        <v>80</v>
      </c>
      <c r="J118" s="3" t="s">
        <v>77</v>
      </c>
      <c r="K118" s="3" t="s">
        <v>78</v>
      </c>
      <c r="L118" s="3" t="s">
        <v>79</v>
      </c>
    </row>
    <row r="119" spans="1:12" ht="114">
      <c r="A119" s="3" t="s">
        <v>43</v>
      </c>
      <c r="B119" s="3" t="s">
        <v>44</v>
      </c>
      <c r="C119" s="3" t="s">
        <v>45</v>
      </c>
      <c r="D119" s="3" t="s">
        <v>45</v>
      </c>
      <c r="E119" s="12">
        <v>45931</v>
      </c>
      <c r="F119" s="3">
        <v>972391</v>
      </c>
      <c r="G119" s="3">
        <v>4369.93</v>
      </c>
      <c r="H119" s="3">
        <v>5306.34</v>
      </c>
      <c r="I119" s="3" t="s">
        <v>76</v>
      </c>
      <c r="J119" s="3" t="s">
        <v>77</v>
      </c>
      <c r="K119" s="3" t="s">
        <v>78</v>
      </c>
      <c r="L119" s="3" t="s">
        <v>79</v>
      </c>
    </row>
    <row r="120" spans="1:12" ht="114">
      <c r="A120" s="3" t="s">
        <v>43</v>
      </c>
      <c r="B120" s="3" t="s">
        <v>44</v>
      </c>
      <c r="C120" s="3" t="s">
        <v>45</v>
      </c>
      <c r="D120" s="3" t="s">
        <v>45</v>
      </c>
      <c r="E120" s="12">
        <v>45962</v>
      </c>
      <c r="F120" s="3">
        <v>882724</v>
      </c>
      <c r="G120" s="3">
        <v>3966.96</v>
      </c>
      <c r="H120" s="3">
        <v>4817.0200000000004</v>
      </c>
      <c r="I120" s="3" t="s">
        <v>76</v>
      </c>
      <c r="J120" s="3" t="s">
        <v>77</v>
      </c>
      <c r="K120" s="3" t="s">
        <v>78</v>
      </c>
      <c r="L120" s="3" t="s">
        <v>79</v>
      </c>
    </row>
    <row r="121" spans="1:12" ht="114">
      <c r="A121" s="3" t="s">
        <v>43</v>
      </c>
      <c r="B121" s="3" t="s">
        <v>44</v>
      </c>
      <c r="C121" s="3" t="s">
        <v>45</v>
      </c>
      <c r="D121" s="3" t="s">
        <v>45</v>
      </c>
      <c r="E121" s="12">
        <v>45992</v>
      </c>
      <c r="F121" s="3">
        <v>873848</v>
      </c>
      <c r="G121" s="3">
        <v>3927.07</v>
      </c>
      <c r="H121" s="3">
        <v>4768.59</v>
      </c>
      <c r="I121" s="3" t="s">
        <v>76</v>
      </c>
      <c r="J121" s="3" t="s">
        <v>77</v>
      </c>
      <c r="K121" s="3" t="s">
        <v>78</v>
      </c>
      <c r="L121" s="3" t="s">
        <v>79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106DB-CC01-4F1F-A7E9-7A62CEA80AA6}">
  <dimension ref="A1:AE20"/>
  <sheetViews>
    <sheetView workbookViewId="0">
      <selection activeCell="B2" sqref="B2"/>
    </sheetView>
  </sheetViews>
  <sheetFormatPr defaultRowHeight="14.25"/>
  <cols>
    <col min="1" max="1" width="18.875" customWidth="1"/>
    <col min="2" max="2" width="30.125" customWidth="1"/>
    <col min="3" max="3" width="21.5" customWidth="1"/>
    <col min="4" max="4" width="15.125" style="14" customWidth="1"/>
    <col min="5" max="6" width="20.25" customWidth="1"/>
    <col min="7" max="7" width="20.5" customWidth="1"/>
    <col min="8" max="8" width="9.875" bestFit="1" customWidth="1"/>
    <col min="9" max="9" width="10.375" bestFit="1" customWidth="1"/>
    <col min="10" max="12" width="10.875" bestFit="1" customWidth="1"/>
    <col min="15" max="15" width="14.25" customWidth="1"/>
    <col min="16" max="16" width="16.75" customWidth="1"/>
    <col min="17" max="17" width="24.375" customWidth="1"/>
    <col min="21" max="21" width="20.75" customWidth="1"/>
  </cols>
  <sheetData>
    <row r="1" spans="1:31" ht="60">
      <c r="A1" s="8" t="s">
        <v>0</v>
      </c>
      <c r="B1" s="9" t="s">
        <v>1</v>
      </c>
      <c r="C1" s="9" t="s">
        <v>7</v>
      </c>
      <c r="D1" s="13" t="s">
        <v>1069</v>
      </c>
      <c r="E1" s="9" t="s">
        <v>1070</v>
      </c>
      <c r="F1" s="9" t="s">
        <v>1072</v>
      </c>
      <c r="G1" s="9" t="s">
        <v>1071</v>
      </c>
      <c r="H1" s="9" t="s">
        <v>1073</v>
      </c>
      <c r="I1" s="9" t="s">
        <v>1074</v>
      </c>
      <c r="J1" s="9" t="s">
        <v>1075</v>
      </c>
      <c r="K1" s="9" t="s">
        <v>1076</v>
      </c>
      <c r="L1" s="9" t="s">
        <v>1077</v>
      </c>
      <c r="M1" s="9" t="s">
        <v>1078</v>
      </c>
      <c r="N1" s="9" t="s">
        <v>1079</v>
      </c>
      <c r="O1" s="9" t="s">
        <v>1080</v>
      </c>
      <c r="P1" s="9" t="s">
        <v>1081</v>
      </c>
      <c r="Q1" s="2" t="s">
        <v>1082</v>
      </c>
      <c r="R1" s="2" t="s">
        <v>1083</v>
      </c>
      <c r="S1" s="2" t="s">
        <v>1084</v>
      </c>
      <c r="T1" s="2" t="s">
        <v>1085</v>
      </c>
      <c r="U1" s="2" t="s">
        <v>1086</v>
      </c>
    </row>
    <row r="2" spans="1:31" ht="15">
      <c r="A2" s="10" t="s">
        <v>11</v>
      </c>
      <c r="B2" t="str">
        <f>_xlfn.XLOOKUP(A2,'01_input_asset_master'!A$2:A$11,'01_input_asset_master'!B$2:B$11)</f>
        <v>Riverbend Apartments</v>
      </c>
      <c r="C2">
        <f>_xlfn.XLOOKUP(A2,'01_input_asset_master'!A$2:A$11,'01_input_asset_master'!H$2:H$11)</f>
        <v>165000</v>
      </c>
      <c r="D2" s="14">
        <f>_xlfn.XLOOKUP(A2,'01_input_asset_master'!A$2:A$11,'01_input_asset_master'!I$2:I$11)</f>
        <v>180</v>
      </c>
      <c r="E2">
        <f>SUMIFS('03_input_water_monthly'!G:G,'03_input_water_monthly'!A:A,A2)</f>
        <v>46404.350000000006</v>
      </c>
      <c r="F2">
        <f>SUMIFS('03_input_water_monthly'!H:H,'03_input_water_monthly'!A:A,A2)</f>
        <v>56348.110000000008</v>
      </c>
      <c r="G2">
        <f>SUMIFS('03_input_water_monthly'!H:H,'03_input_water_monthly'!A:A,A2)</f>
        <v>56348.110000000008</v>
      </c>
      <c r="H2">
        <f>F2+G2</f>
        <v>112696.22000000002</v>
      </c>
      <c r="I2" s="16">
        <f>E2/C2</f>
        <v>0.2812384848484849</v>
      </c>
      <c r="J2">
        <f>E2/D2</f>
        <v>257.80194444444447</v>
      </c>
      <c r="K2">
        <f>H2/D2</f>
        <v>626.09011111111124</v>
      </c>
      <c r="L2">
        <f>H2/C2</f>
        <v>0.68300739393939403</v>
      </c>
      <c r="M2">
        <f>COUNTIFS('03_input_water_monthly'!A:A,A2,'03_input_water_monthly'!E:E,"&gt;0")</f>
        <v>12</v>
      </c>
      <c r="N2" s="17">
        <f>M2/12</f>
        <v>1</v>
      </c>
      <c r="O2" t="str">
        <f>IF(J2&gt;75000,"High Water Use",IF(J2&gt;55000,"Moderate","Efficient/Low"))</f>
        <v>Efficient/Low</v>
      </c>
      <c r="P2" t="str">
        <f>IF(K2&gt;700,"High Cost",IF(K2&gt;500,"Moderate Cost","Low Cost"))</f>
        <v>Moderate Cost</v>
      </c>
      <c r="Q2" t="str">
        <f>IF(O2="High Water Use","Leak detection + low-flow fixtures + irrigation review",IF(O2="Moderate","Monitor usage + fixture review","Maintain performance"))</f>
        <v>Maintain performance</v>
      </c>
      <c r="R2">
        <f>_xlfn.RANK.EQ(K2,$K$2:$K$11,0)</f>
        <v>4</v>
      </c>
      <c r="S2">
        <f>_xlfn.RANK.EQ(I2,$I$2:$I$11,0)</f>
        <v>4</v>
      </c>
      <c r="T2">
        <f>_xlfn.RANK.EQ(J2,$J$2:$J$11,0)+_xlfn.RANK.EQ(K2,$K$2:$K$11,0)</f>
        <v>8</v>
      </c>
      <c r="U2">
        <f>_xlfn.RANK.EQ(J2,$J$2:$J$11,0)+_xlfn.RANK.EQ(K2,$K$2:$K$11,0)</f>
        <v>8</v>
      </c>
      <c r="Y2" s="50" t="s">
        <v>1087</v>
      </c>
      <c r="Z2" s="50"/>
      <c r="AA2" s="50"/>
      <c r="AB2" s="50"/>
      <c r="AC2" s="50"/>
      <c r="AD2" s="50"/>
      <c r="AE2" s="50"/>
    </row>
    <row r="3" spans="1:31" ht="15">
      <c r="A3" s="11" t="s">
        <v>17</v>
      </c>
      <c r="B3" t="str">
        <f>_xlfn.XLOOKUP(A3,'01_input_asset_master'!A$2:A$11,'01_input_asset_master'!B$2:B$11)</f>
        <v>Lakeview Terrace</v>
      </c>
      <c r="C3">
        <f>_xlfn.XLOOKUP(A3,'01_input_asset_master'!A$2:A$11,'01_input_asset_master'!H$2:H$11)</f>
        <v>220000</v>
      </c>
      <c r="D3" s="14">
        <f>_xlfn.XLOOKUP(A3,'01_input_asset_master'!A$2:A$11,'01_input_asset_master'!I$2:I$11)</f>
        <v>240</v>
      </c>
      <c r="E3">
        <f>SUMIFS('03_input_water_monthly'!G:G,'03_input_water_monthly'!A:A,A3)</f>
        <v>79558.5</v>
      </c>
      <c r="F3">
        <f>SUMIFS('03_input_water_monthly'!H:H,'03_input_water_monthly'!A:A,A3)</f>
        <v>96606.739999999976</v>
      </c>
      <c r="G3">
        <f>SUMIFS('03_input_water_monthly'!H:H,'03_input_water_monthly'!A:A,A3)</f>
        <v>96606.739999999976</v>
      </c>
      <c r="H3">
        <f t="shared" ref="H3:H11" si="0">F3+G3</f>
        <v>193213.47999999995</v>
      </c>
      <c r="I3" s="16">
        <f>E3/C3</f>
        <v>0.36162954545454545</v>
      </c>
      <c r="J3">
        <f t="shared" ref="J3:J11" si="1">E3/D3</f>
        <v>331.49374999999998</v>
      </c>
      <c r="K3">
        <f t="shared" ref="K3:K11" si="2">H3/D3</f>
        <v>805.05616666666651</v>
      </c>
      <c r="L3">
        <f t="shared" ref="L3:L11" si="3">H3/C3</f>
        <v>0.8782430909090907</v>
      </c>
      <c r="M3">
        <f>COUNTIFS('03_input_water_monthly'!A:A,A3,'03_input_water_monthly'!E:E,"&gt;0")</f>
        <v>12</v>
      </c>
      <c r="N3" s="17">
        <f t="shared" ref="N3:N11" si="4">M3/12</f>
        <v>1</v>
      </c>
      <c r="O3" t="str">
        <f t="shared" ref="O3:O11" si="5">IF(J3&gt;75000,"High Water Use",IF(J3&gt;55000,"Moderate","Efficient/Low"))</f>
        <v>Efficient/Low</v>
      </c>
      <c r="P3" t="str">
        <f t="shared" ref="P3:P11" si="6">IF(K3&gt;700,"High Cost",IF(K3&gt;500,"Moderate Cost","Low Cost"))</f>
        <v>High Cost</v>
      </c>
      <c r="Q3" t="str">
        <f t="shared" ref="Q3:Q11" si="7">IF(O3="High Water Use","Leak detection + low-flow fixtures + irrigation review",IF(O3="Moderate","Monitor usage + fixture review","Maintain performance"))</f>
        <v>Maintain performance</v>
      </c>
      <c r="R3">
        <f t="shared" ref="R3:R11" si="8">_xlfn.RANK.EQ(K3,$K$2:$K$11,0)</f>
        <v>1</v>
      </c>
      <c r="S3">
        <f t="shared" ref="S3:S11" si="9">_xlfn.RANK.EQ(I3,$I$2:$I$11,0)</f>
        <v>1</v>
      </c>
      <c r="T3">
        <f t="shared" ref="T3:T11" si="10">_xlfn.RANK.EQ(J3,$J$2:$J$11,0)+_xlfn.RANK.EQ(K3,$K$2:$K$11,0)</f>
        <v>2</v>
      </c>
      <c r="U3">
        <f t="shared" ref="U3:U11" si="11">_xlfn.RANK.EQ(J3,$J$2:$J$11,0)+_xlfn.RANK.EQ(K3,$K$2:$K$11,0)</f>
        <v>2</v>
      </c>
      <c r="Y3" s="50"/>
      <c r="Z3" s="50"/>
      <c r="AA3" s="50"/>
      <c r="AB3" s="50"/>
      <c r="AC3" s="50"/>
      <c r="AD3" s="50"/>
      <c r="AE3" s="50"/>
    </row>
    <row r="4" spans="1:31" ht="15">
      <c r="A4" s="10" t="s">
        <v>20</v>
      </c>
      <c r="B4" t="str">
        <f>_xlfn.XLOOKUP(A4,'01_input_asset_master'!A$2:A$11,'01_input_asset_master'!B$2:B$11)</f>
        <v>Northside Commons</v>
      </c>
      <c r="C4">
        <f>_xlfn.XLOOKUP(A4,'01_input_asset_master'!A$2:A$11,'01_input_asset_master'!H$2:H$11)</f>
        <v>145000</v>
      </c>
      <c r="D4" s="14">
        <f>_xlfn.XLOOKUP(A4,'01_input_asset_master'!A$2:A$11,'01_input_asset_master'!I$2:I$11)</f>
        <v>160</v>
      </c>
      <c r="E4">
        <f>SUMIFS('03_input_water_monthly'!G:G,'03_input_water_monthly'!A:A,A4)</f>
        <v>37799.439999999995</v>
      </c>
      <c r="F4">
        <f>SUMIFS('03_input_water_monthly'!H:H,'03_input_water_monthly'!A:A,A4)</f>
        <v>45899.320000000007</v>
      </c>
      <c r="G4">
        <f>SUMIFS('03_input_water_monthly'!H:H,'03_input_water_monthly'!A:A,A4)</f>
        <v>45899.320000000007</v>
      </c>
      <c r="H4">
        <f t="shared" si="0"/>
        <v>91798.640000000014</v>
      </c>
      <c r="I4" s="16">
        <f t="shared" ref="I4:I11" si="12">E4/C4</f>
        <v>0.26068579310344825</v>
      </c>
      <c r="J4">
        <f t="shared" si="1"/>
        <v>236.24649999999997</v>
      </c>
      <c r="K4">
        <f t="shared" si="2"/>
        <v>573.74150000000009</v>
      </c>
      <c r="L4">
        <f t="shared" si="3"/>
        <v>0.63309406896551734</v>
      </c>
      <c r="M4">
        <f>COUNTIFS('03_input_water_monthly'!A:A,A4,'03_input_water_monthly'!E:E,"&gt;0")</f>
        <v>12</v>
      </c>
      <c r="N4" s="17">
        <f t="shared" si="4"/>
        <v>1</v>
      </c>
      <c r="O4" t="str">
        <f t="shared" si="5"/>
        <v>Efficient/Low</v>
      </c>
      <c r="P4" t="str">
        <f t="shared" si="6"/>
        <v>Moderate Cost</v>
      </c>
      <c r="Q4" t="str">
        <f t="shared" si="7"/>
        <v>Maintain performance</v>
      </c>
      <c r="R4">
        <f t="shared" si="8"/>
        <v>6</v>
      </c>
      <c r="S4">
        <f t="shared" si="9"/>
        <v>6</v>
      </c>
      <c r="T4">
        <f t="shared" si="10"/>
        <v>12</v>
      </c>
      <c r="U4">
        <f t="shared" si="11"/>
        <v>12</v>
      </c>
      <c r="Y4" s="50"/>
      <c r="Z4" s="50"/>
      <c r="AA4" s="50"/>
      <c r="AB4" s="50"/>
      <c r="AC4" s="50"/>
      <c r="AD4" s="50"/>
      <c r="AE4" s="50"/>
    </row>
    <row r="5" spans="1:31" ht="15">
      <c r="A5" s="11" t="s">
        <v>24</v>
      </c>
      <c r="B5" t="str">
        <f>_xlfn.XLOOKUP(A5,'01_input_asset_master'!A$2:A$11,'01_input_asset_master'!B$2:B$11)</f>
        <v>Badger Ridge Homes</v>
      </c>
      <c r="C5">
        <f>_xlfn.XLOOKUP(A5,'01_input_asset_master'!A$2:A$11,'01_input_asset_master'!H$2:H$11)</f>
        <v>120000</v>
      </c>
      <c r="D5" s="14">
        <f>_xlfn.XLOOKUP(A5,'01_input_asset_master'!A$2:A$11,'01_input_asset_master'!I$2:I$11)</f>
        <v>130</v>
      </c>
      <c r="E5">
        <f>SUMIFS('03_input_water_monthly'!G:G,'03_input_water_monthly'!A:A,A5)</f>
        <v>32382.31</v>
      </c>
      <c r="F5">
        <f>SUMIFS('03_input_water_monthly'!H:H,'03_input_water_monthly'!A:A,A5)</f>
        <v>39321.360000000001</v>
      </c>
      <c r="G5">
        <f>SUMIFS('03_input_water_monthly'!H:H,'03_input_water_monthly'!A:A,A5)</f>
        <v>39321.360000000001</v>
      </c>
      <c r="H5">
        <f t="shared" si="0"/>
        <v>78642.720000000001</v>
      </c>
      <c r="I5" s="16">
        <f t="shared" si="12"/>
        <v>0.26985258333333334</v>
      </c>
      <c r="J5">
        <f t="shared" si="1"/>
        <v>249.09469230769233</v>
      </c>
      <c r="K5">
        <f t="shared" si="2"/>
        <v>604.94399999999996</v>
      </c>
      <c r="L5">
        <f t="shared" si="3"/>
        <v>0.65535600000000005</v>
      </c>
      <c r="M5">
        <f>COUNTIFS('03_input_water_monthly'!A:A,A5,'03_input_water_monthly'!E:E,"&gt;0")</f>
        <v>12</v>
      </c>
      <c r="N5" s="17">
        <f t="shared" si="4"/>
        <v>1</v>
      </c>
      <c r="O5" t="str">
        <f t="shared" si="5"/>
        <v>Efficient/Low</v>
      </c>
      <c r="P5" t="str">
        <f t="shared" si="6"/>
        <v>Moderate Cost</v>
      </c>
      <c r="Q5" t="str">
        <f t="shared" si="7"/>
        <v>Maintain performance</v>
      </c>
      <c r="R5">
        <f t="shared" si="8"/>
        <v>5</v>
      </c>
      <c r="S5">
        <f t="shared" si="9"/>
        <v>5</v>
      </c>
      <c r="T5">
        <f t="shared" si="10"/>
        <v>10</v>
      </c>
      <c r="U5">
        <f t="shared" si="11"/>
        <v>10</v>
      </c>
      <c r="Y5" s="50"/>
      <c r="Z5" s="50"/>
      <c r="AA5" s="50"/>
      <c r="AB5" s="50"/>
      <c r="AC5" s="50"/>
      <c r="AD5" s="50"/>
      <c r="AE5" s="50"/>
    </row>
    <row r="6" spans="1:31" ht="15">
      <c r="A6" s="10" t="s">
        <v>28</v>
      </c>
      <c r="B6" t="str">
        <f>_xlfn.XLOOKUP(A6,'01_input_asset_master'!A$2:A$11,'01_input_asset_master'!B$2:B$11)</f>
        <v>Oak Street Lofts</v>
      </c>
      <c r="C6">
        <f>_xlfn.XLOOKUP(A6,'01_input_asset_master'!A$2:A$11,'01_input_asset_master'!H$2:H$11)</f>
        <v>98000</v>
      </c>
      <c r="D6" s="14">
        <f>_xlfn.XLOOKUP(A6,'01_input_asset_master'!A$2:A$11,'01_input_asset_master'!I$2:I$11)</f>
        <v>105</v>
      </c>
      <c r="E6">
        <f>SUMIFS('03_input_water_monthly'!G:G,'03_input_water_monthly'!A:A,A6)</f>
        <v>20938.79</v>
      </c>
      <c r="F6">
        <f>SUMIFS('03_input_water_monthly'!H:H,'03_input_water_monthly'!A:A,A6)</f>
        <v>25425.670000000002</v>
      </c>
      <c r="G6">
        <f>SUMIFS('03_input_water_monthly'!H:H,'03_input_water_monthly'!A:A,A6)</f>
        <v>25425.670000000002</v>
      </c>
      <c r="H6">
        <f t="shared" si="0"/>
        <v>50851.340000000004</v>
      </c>
      <c r="I6" s="16">
        <f t="shared" si="12"/>
        <v>0.21366112244897961</v>
      </c>
      <c r="J6">
        <f t="shared" si="1"/>
        <v>199.41704761904762</v>
      </c>
      <c r="K6">
        <f t="shared" si="2"/>
        <v>484.29847619047621</v>
      </c>
      <c r="L6">
        <f t="shared" si="3"/>
        <v>0.51889122448979597</v>
      </c>
      <c r="M6">
        <f>COUNTIFS('03_input_water_monthly'!A:A,A6,'03_input_water_monthly'!E:E,"&gt;0")</f>
        <v>12</v>
      </c>
      <c r="N6" s="17">
        <f t="shared" si="4"/>
        <v>1</v>
      </c>
      <c r="O6" t="str">
        <f t="shared" si="5"/>
        <v>Efficient/Low</v>
      </c>
      <c r="P6" t="str">
        <f t="shared" si="6"/>
        <v>Low Cost</v>
      </c>
      <c r="Q6" t="str">
        <f t="shared" si="7"/>
        <v>Maintain performance</v>
      </c>
      <c r="R6">
        <f t="shared" si="8"/>
        <v>10</v>
      </c>
      <c r="S6">
        <f t="shared" si="9"/>
        <v>10</v>
      </c>
      <c r="T6">
        <f t="shared" si="10"/>
        <v>20</v>
      </c>
      <c r="U6">
        <f t="shared" si="11"/>
        <v>20</v>
      </c>
      <c r="Y6" s="50"/>
      <c r="Z6" s="50"/>
      <c r="AA6" s="50"/>
      <c r="AB6" s="50"/>
      <c r="AC6" s="50"/>
      <c r="AD6" s="50"/>
      <c r="AE6" s="50"/>
    </row>
    <row r="7" spans="1:31" ht="15">
      <c r="A7" s="11" t="s">
        <v>31</v>
      </c>
      <c r="B7" t="str">
        <f>_xlfn.XLOOKUP(A7,'01_input_asset_master'!A$2:A$11,'01_input_asset_master'!B$2:B$11)</f>
        <v>South Park Apartments</v>
      </c>
      <c r="C7">
        <f>_xlfn.XLOOKUP(A7,'01_input_asset_master'!A$2:A$11,'01_input_asset_master'!H$2:H$11)</f>
        <v>185000</v>
      </c>
      <c r="D7" s="14">
        <f>_xlfn.XLOOKUP(A7,'01_input_asset_master'!A$2:A$11,'01_input_asset_master'!I$2:I$11)</f>
        <v>210</v>
      </c>
      <c r="E7">
        <f>SUMIFS('03_input_water_monthly'!G:G,'03_input_water_monthly'!A:A,A7)</f>
        <v>66315.92</v>
      </c>
      <c r="F7">
        <f>SUMIFS('03_input_water_monthly'!H:H,'03_input_water_monthly'!A:A,A7)</f>
        <v>80526.490000000005</v>
      </c>
      <c r="G7">
        <f>SUMIFS('03_input_water_monthly'!H:H,'03_input_water_monthly'!A:A,A7)</f>
        <v>80526.490000000005</v>
      </c>
      <c r="H7">
        <f t="shared" si="0"/>
        <v>161052.98000000001</v>
      </c>
      <c r="I7" s="16">
        <f t="shared" si="12"/>
        <v>0.35846443243243242</v>
      </c>
      <c r="J7">
        <f t="shared" si="1"/>
        <v>315.7900952380952</v>
      </c>
      <c r="K7">
        <f t="shared" si="2"/>
        <v>766.91895238095242</v>
      </c>
      <c r="L7">
        <f t="shared" si="3"/>
        <v>0.87055664864864868</v>
      </c>
      <c r="M7">
        <f>COUNTIFS('03_input_water_monthly'!A:A,A7,'03_input_water_monthly'!E:E,"&gt;0")</f>
        <v>12</v>
      </c>
      <c r="N7" s="17">
        <f t="shared" si="4"/>
        <v>1</v>
      </c>
      <c r="O7" t="str">
        <f t="shared" si="5"/>
        <v>Efficient/Low</v>
      </c>
      <c r="P7" t="str">
        <f t="shared" si="6"/>
        <v>High Cost</v>
      </c>
      <c r="Q7" t="str">
        <f t="shared" si="7"/>
        <v>Maintain performance</v>
      </c>
      <c r="R7">
        <f t="shared" si="8"/>
        <v>2</v>
      </c>
      <c r="S7">
        <f t="shared" si="9"/>
        <v>2</v>
      </c>
      <c r="T7">
        <f t="shared" si="10"/>
        <v>4</v>
      </c>
      <c r="U7">
        <f t="shared" si="11"/>
        <v>4</v>
      </c>
      <c r="Y7" s="50"/>
      <c r="Z7" s="50"/>
      <c r="AA7" s="50"/>
      <c r="AB7" s="50"/>
      <c r="AC7" s="50"/>
      <c r="AD7" s="50"/>
      <c r="AE7" s="50"/>
    </row>
    <row r="8" spans="1:31" ht="15">
      <c r="A8" s="10" t="s">
        <v>34</v>
      </c>
      <c r="B8" t="str">
        <f>_xlfn.XLOOKUP(A8,'01_input_asset_master'!A$2:A$11,'01_input_asset_master'!B$2:B$11)</f>
        <v>Fox River Flats</v>
      </c>
      <c r="C8">
        <f>_xlfn.XLOOKUP(A8,'01_input_asset_master'!A$2:A$11,'01_input_asset_master'!H$2:H$11)</f>
        <v>135000</v>
      </c>
      <c r="D8" s="14">
        <f>_xlfn.XLOOKUP(A8,'01_input_asset_master'!A$2:A$11,'01_input_asset_master'!I$2:I$11)</f>
        <v>150</v>
      </c>
      <c r="E8">
        <f>SUMIFS('03_input_water_monthly'!G:G,'03_input_water_monthly'!A:A,A8)</f>
        <v>31331.91</v>
      </c>
      <c r="F8">
        <f>SUMIFS('03_input_water_monthly'!H:H,'03_input_water_monthly'!A:A,A8)</f>
        <v>38045.879999999997</v>
      </c>
      <c r="G8">
        <f>SUMIFS('03_input_water_monthly'!H:H,'03_input_water_monthly'!A:A,A8)</f>
        <v>38045.879999999997</v>
      </c>
      <c r="H8">
        <f t="shared" si="0"/>
        <v>76091.759999999995</v>
      </c>
      <c r="I8" s="16">
        <f t="shared" si="12"/>
        <v>0.23208822222222222</v>
      </c>
      <c r="J8">
        <f t="shared" si="1"/>
        <v>208.8794</v>
      </c>
      <c r="K8">
        <f t="shared" si="2"/>
        <v>507.27839999999998</v>
      </c>
      <c r="L8">
        <f t="shared" si="3"/>
        <v>0.56364266666666663</v>
      </c>
      <c r="M8">
        <f>COUNTIFS('03_input_water_monthly'!A:A,A8,'03_input_water_monthly'!E:E,"&gt;0")</f>
        <v>12</v>
      </c>
      <c r="N8" s="17">
        <f t="shared" si="4"/>
        <v>1</v>
      </c>
      <c r="O8" t="str">
        <f t="shared" si="5"/>
        <v>Efficient/Low</v>
      </c>
      <c r="P8" t="str">
        <f t="shared" si="6"/>
        <v>Moderate Cost</v>
      </c>
      <c r="Q8" t="str">
        <f t="shared" si="7"/>
        <v>Maintain performance</v>
      </c>
      <c r="R8">
        <f t="shared" si="8"/>
        <v>8</v>
      </c>
      <c r="S8">
        <f t="shared" si="9"/>
        <v>8</v>
      </c>
      <c r="T8">
        <f t="shared" si="10"/>
        <v>16</v>
      </c>
      <c r="U8">
        <f t="shared" si="11"/>
        <v>16</v>
      </c>
      <c r="Y8" s="50"/>
      <c r="Z8" s="50"/>
      <c r="AA8" s="50"/>
      <c r="AB8" s="50"/>
      <c r="AC8" s="50"/>
      <c r="AD8" s="50"/>
      <c r="AE8" s="50"/>
    </row>
    <row r="9" spans="1:31" ht="15">
      <c r="A9" s="11" t="s">
        <v>38</v>
      </c>
      <c r="B9" t="str">
        <f>_xlfn.XLOOKUP(A9,'01_input_asset_master'!A$2:A$11,'01_input_asset_master'!B$2:B$11)</f>
        <v>Prairie View Residences</v>
      </c>
      <c r="C9">
        <f>_xlfn.XLOOKUP(A9,'01_input_asset_master'!A$2:A$11,'01_input_asset_master'!H$2:H$11)</f>
        <v>110000</v>
      </c>
      <c r="D9" s="14">
        <f>_xlfn.XLOOKUP(A9,'01_input_asset_master'!A$2:A$11,'01_input_asset_master'!I$2:I$11)</f>
        <v>120</v>
      </c>
      <c r="E9">
        <f>SUMIFS('03_input_water_monthly'!G:G,'03_input_water_monthly'!A:A,A9)</f>
        <v>27447.839999999997</v>
      </c>
      <c r="F9">
        <f>SUMIFS('03_input_water_monthly'!H:H,'03_input_water_monthly'!A:A,A9)</f>
        <v>33329.509999999995</v>
      </c>
      <c r="G9">
        <f>SUMIFS('03_input_water_monthly'!H:H,'03_input_water_monthly'!A:A,A9)</f>
        <v>33329.509999999995</v>
      </c>
      <c r="H9">
        <f t="shared" si="0"/>
        <v>66659.01999999999</v>
      </c>
      <c r="I9" s="16">
        <f t="shared" si="12"/>
        <v>0.24952581818181815</v>
      </c>
      <c r="J9">
        <f t="shared" si="1"/>
        <v>228.73199999999997</v>
      </c>
      <c r="K9">
        <f t="shared" si="2"/>
        <v>555.49183333333326</v>
      </c>
      <c r="L9">
        <f t="shared" si="3"/>
        <v>0.60599109090909087</v>
      </c>
      <c r="M9">
        <f>COUNTIFS('03_input_water_monthly'!A:A,A9,'03_input_water_monthly'!E:E,"&gt;0")</f>
        <v>12</v>
      </c>
      <c r="N9" s="17">
        <f t="shared" si="4"/>
        <v>1</v>
      </c>
      <c r="O9" t="str">
        <f t="shared" si="5"/>
        <v>Efficient/Low</v>
      </c>
      <c r="P9" t="str">
        <f t="shared" si="6"/>
        <v>Moderate Cost</v>
      </c>
      <c r="Q9" t="str">
        <f t="shared" si="7"/>
        <v>Maintain performance</v>
      </c>
      <c r="R9">
        <f t="shared" si="8"/>
        <v>7</v>
      </c>
      <c r="S9">
        <f t="shared" si="9"/>
        <v>7</v>
      </c>
      <c r="T9">
        <f t="shared" si="10"/>
        <v>14</v>
      </c>
      <c r="U9">
        <f t="shared" si="11"/>
        <v>14</v>
      </c>
      <c r="Y9" s="50"/>
      <c r="Z9" s="50"/>
      <c r="AA9" s="50"/>
      <c r="AB9" s="50"/>
      <c r="AC9" s="50"/>
      <c r="AD9" s="50"/>
      <c r="AE9" s="50"/>
    </row>
    <row r="10" spans="1:31" ht="15">
      <c r="A10" s="10" t="s">
        <v>41</v>
      </c>
      <c r="B10" t="str">
        <f>_xlfn.XLOOKUP(A10,'01_input_asset_master'!A$2:A$11,'01_input_asset_master'!B$2:B$11)</f>
        <v>Capitol Square Homes</v>
      </c>
      <c r="C10">
        <f>_xlfn.XLOOKUP(A10,'01_input_asset_master'!A$2:A$11,'01_input_asset_master'!H$2:H$11)</f>
        <v>175000</v>
      </c>
      <c r="D10" s="14">
        <f>_xlfn.XLOOKUP(A10,'01_input_asset_master'!A$2:A$11,'01_input_asset_master'!I$2:I$11)</f>
        <v>190</v>
      </c>
      <c r="E10">
        <f>SUMIFS('03_input_water_monthly'!G:G,'03_input_water_monthly'!A:A,A10)</f>
        <v>38401.79</v>
      </c>
      <c r="F10">
        <f>SUMIFS('03_input_water_monthly'!H:H,'03_input_water_monthly'!A:A,A10)</f>
        <v>46630.739999999991</v>
      </c>
      <c r="G10">
        <f>SUMIFS('03_input_water_monthly'!H:H,'03_input_water_monthly'!A:A,A10)</f>
        <v>46630.739999999991</v>
      </c>
      <c r="H10">
        <f t="shared" si="0"/>
        <v>93261.479999999981</v>
      </c>
      <c r="I10" s="16">
        <f t="shared" si="12"/>
        <v>0.21943880000000002</v>
      </c>
      <c r="J10">
        <f t="shared" si="1"/>
        <v>202.11468421052632</v>
      </c>
      <c r="K10">
        <f t="shared" si="2"/>
        <v>490.84989473684203</v>
      </c>
      <c r="L10">
        <f t="shared" si="3"/>
        <v>0.53292274285714281</v>
      </c>
      <c r="M10">
        <f>COUNTIFS('03_input_water_monthly'!A:A,A10,'03_input_water_monthly'!E:E,"&gt;0")</f>
        <v>12</v>
      </c>
      <c r="N10" s="17">
        <f t="shared" si="4"/>
        <v>1</v>
      </c>
      <c r="O10" t="str">
        <f t="shared" si="5"/>
        <v>Efficient/Low</v>
      </c>
      <c r="P10" t="str">
        <f t="shared" si="6"/>
        <v>Low Cost</v>
      </c>
      <c r="Q10" t="str">
        <f t="shared" si="7"/>
        <v>Maintain performance</v>
      </c>
      <c r="R10">
        <f t="shared" si="8"/>
        <v>9</v>
      </c>
      <c r="S10">
        <f t="shared" si="9"/>
        <v>9</v>
      </c>
      <c r="T10">
        <f t="shared" si="10"/>
        <v>18</v>
      </c>
      <c r="U10">
        <f t="shared" si="11"/>
        <v>18</v>
      </c>
      <c r="Y10" s="50"/>
      <c r="Z10" s="50"/>
      <c r="AA10" s="50"/>
      <c r="AB10" s="50"/>
      <c r="AC10" s="50"/>
      <c r="AD10" s="50"/>
      <c r="AE10" s="50"/>
    </row>
    <row r="11" spans="1:31" ht="15">
      <c r="A11" s="11" t="s">
        <v>43</v>
      </c>
      <c r="B11" t="str">
        <f>_xlfn.XLOOKUP(A11,'01_input_asset_master'!A$2:A$11,'01_input_asset_master'!B$2:B$11)</f>
        <v>Harbor Point Apartments</v>
      </c>
      <c r="C11">
        <f>_xlfn.XLOOKUP(A11,'01_input_asset_master'!A$2:A$11,'01_input_asset_master'!H$2:H$11)</f>
        <v>160000</v>
      </c>
      <c r="D11" s="14">
        <f>_xlfn.XLOOKUP(A11,'01_input_asset_master'!A$2:A$11,'01_input_asset_master'!I$2:I$11)</f>
        <v>175</v>
      </c>
      <c r="E11">
        <f>SUMIFS('03_input_water_monthly'!G:G,'03_input_water_monthly'!A:A,A11)</f>
        <v>53206.6</v>
      </c>
      <c r="F11">
        <f>SUMIFS('03_input_water_monthly'!H:H,'03_input_water_monthly'!A:A,A11)</f>
        <v>64608.009999999995</v>
      </c>
      <c r="G11">
        <f>SUMIFS('03_input_water_monthly'!H:H,'03_input_water_monthly'!A:A,A11)</f>
        <v>64608.009999999995</v>
      </c>
      <c r="H11">
        <f t="shared" si="0"/>
        <v>129216.01999999999</v>
      </c>
      <c r="I11" s="16">
        <f t="shared" si="12"/>
        <v>0.33254125000000001</v>
      </c>
      <c r="J11">
        <f t="shared" si="1"/>
        <v>304.03771428571429</v>
      </c>
      <c r="K11">
        <f t="shared" si="2"/>
        <v>738.37725714285705</v>
      </c>
      <c r="L11">
        <f t="shared" si="3"/>
        <v>0.80760012499999989</v>
      </c>
      <c r="M11">
        <f>COUNTIFS('03_input_water_monthly'!A:A,A11,'03_input_water_monthly'!E:E,"&gt;0")</f>
        <v>12</v>
      </c>
      <c r="N11" s="17">
        <f t="shared" si="4"/>
        <v>1</v>
      </c>
      <c r="O11" t="str">
        <f t="shared" si="5"/>
        <v>Efficient/Low</v>
      </c>
      <c r="P11" t="str">
        <f t="shared" si="6"/>
        <v>High Cost</v>
      </c>
      <c r="Q11" t="str">
        <f t="shared" si="7"/>
        <v>Maintain performance</v>
      </c>
      <c r="R11">
        <f t="shared" si="8"/>
        <v>3</v>
      </c>
      <c r="S11">
        <f t="shared" si="9"/>
        <v>3</v>
      </c>
      <c r="T11">
        <f t="shared" si="10"/>
        <v>6</v>
      </c>
      <c r="U11">
        <f t="shared" si="11"/>
        <v>6</v>
      </c>
    </row>
    <row r="20" spans="7:7">
      <c r="G20">
        <f>SUM('03_input_water_monthly'!D:D)</f>
        <v>0</v>
      </c>
    </row>
  </sheetData>
  <mergeCells count="1">
    <mergeCell ref="Y2:AE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21"/>
  <sheetViews>
    <sheetView topLeftCell="A108" workbookViewId="0">
      <selection activeCell="J114" sqref="J114"/>
    </sheetView>
  </sheetViews>
  <sheetFormatPr defaultRowHeight="14.25"/>
  <cols>
    <col min="1" max="9" width="18" customWidth="1"/>
    <col min="10" max="10" width="12.875" customWidth="1"/>
    <col min="11" max="11" width="44.875" style="26" customWidth="1"/>
    <col min="12" max="24" width="18" customWidth="1"/>
  </cols>
  <sheetData>
    <row r="1" spans="1:13" ht="15">
      <c r="A1" s="1" t="s">
        <v>0</v>
      </c>
      <c r="B1" s="1" t="s">
        <v>1</v>
      </c>
      <c r="C1" s="1" t="s">
        <v>2</v>
      </c>
      <c r="D1" s="1" t="s">
        <v>46</v>
      </c>
      <c r="E1" s="5" t="s">
        <v>82</v>
      </c>
      <c r="F1" s="5" t="s">
        <v>83</v>
      </c>
      <c r="G1" s="5" t="s">
        <v>84</v>
      </c>
      <c r="H1" s="5" t="s">
        <v>85</v>
      </c>
      <c r="I1" s="1" t="s">
        <v>86</v>
      </c>
      <c r="J1" s="1" t="s">
        <v>54</v>
      </c>
      <c r="K1" s="25" t="s">
        <v>55</v>
      </c>
      <c r="L1" s="1" t="s">
        <v>3</v>
      </c>
      <c r="M1" s="1" t="s">
        <v>4</v>
      </c>
    </row>
    <row r="2" spans="1:13" ht="57">
      <c r="A2" s="3" t="s">
        <v>11</v>
      </c>
      <c r="B2" s="3" t="s">
        <v>12</v>
      </c>
      <c r="C2" s="3" t="s">
        <v>13</v>
      </c>
      <c r="D2" s="3" t="s">
        <v>56</v>
      </c>
      <c r="E2" s="3">
        <v>9.4499999999999993</v>
      </c>
      <c r="F2" s="3">
        <v>2.57</v>
      </c>
      <c r="G2" s="3">
        <v>0.26</v>
      </c>
      <c r="H2" s="3">
        <v>2167</v>
      </c>
      <c r="I2" s="3" t="s">
        <v>87</v>
      </c>
      <c r="J2" s="3" t="s">
        <v>78</v>
      </c>
      <c r="K2" s="20" t="s">
        <v>88</v>
      </c>
      <c r="L2" s="3" t="s">
        <v>14</v>
      </c>
      <c r="M2" s="3" t="s">
        <v>15</v>
      </c>
    </row>
    <row r="3" spans="1:13" ht="57">
      <c r="A3" s="3" t="s">
        <v>11</v>
      </c>
      <c r="B3" s="3" t="s">
        <v>12</v>
      </c>
      <c r="C3" s="3" t="s">
        <v>13</v>
      </c>
      <c r="D3" s="3" t="s">
        <v>60</v>
      </c>
      <c r="E3" s="3">
        <v>8.7200000000000006</v>
      </c>
      <c r="F3" s="3">
        <v>2.23</v>
      </c>
      <c r="G3" s="3">
        <v>0.15</v>
      </c>
      <c r="H3" s="3">
        <v>1789</v>
      </c>
      <c r="I3" s="3" t="s">
        <v>87</v>
      </c>
      <c r="J3" s="3" t="s">
        <v>78</v>
      </c>
      <c r="K3" s="20" t="s">
        <v>88</v>
      </c>
      <c r="L3" s="3" t="s">
        <v>14</v>
      </c>
      <c r="M3" s="3" t="s">
        <v>15</v>
      </c>
    </row>
    <row r="4" spans="1:13" ht="57">
      <c r="A4" s="3" t="s">
        <v>11</v>
      </c>
      <c r="B4" s="3" t="s">
        <v>12</v>
      </c>
      <c r="C4" s="3" t="s">
        <v>13</v>
      </c>
      <c r="D4" s="3" t="s">
        <v>61</v>
      </c>
      <c r="E4" s="3">
        <v>9.44</v>
      </c>
      <c r="F4" s="3">
        <v>2.1</v>
      </c>
      <c r="G4" s="3">
        <v>0.18</v>
      </c>
      <c r="H4" s="3">
        <v>2008</v>
      </c>
      <c r="I4" s="3" t="s">
        <v>87</v>
      </c>
      <c r="J4" s="3" t="s">
        <v>78</v>
      </c>
      <c r="K4" s="20" t="s">
        <v>88</v>
      </c>
      <c r="L4" s="3" t="s">
        <v>14</v>
      </c>
      <c r="M4" s="3" t="s">
        <v>15</v>
      </c>
    </row>
    <row r="5" spans="1:13" ht="57">
      <c r="A5" s="3" t="s">
        <v>11</v>
      </c>
      <c r="B5" s="3" t="s">
        <v>12</v>
      </c>
      <c r="C5" s="3" t="s">
        <v>13</v>
      </c>
      <c r="D5" s="3" t="s">
        <v>62</v>
      </c>
      <c r="E5" s="3">
        <v>9.5500000000000007</v>
      </c>
      <c r="F5" s="3">
        <v>2.2200000000000002</v>
      </c>
      <c r="G5" s="3">
        <v>0.24</v>
      </c>
      <c r="H5" s="3">
        <v>2099</v>
      </c>
      <c r="I5" s="3" t="s">
        <v>87</v>
      </c>
      <c r="J5" s="3" t="s">
        <v>78</v>
      </c>
      <c r="K5" s="20" t="s">
        <v>88</v>
      </c>
      <c r="L5" s="3" t="s">
        <v>14</v>
      </c>
      <c r="M5" s="3" t="s">
        <v>15</v>
      </c>
    </row>
    <row r="6" spans="1:13" ht="57">
      <c r="A6" s="3" t="s">
        <v>11</v>
      </c>
      <c r="B6" s="3" t="s">
        <v>12</v>
      </c>
      <c r="C6" s="3" t="s">
        <v>13</v>
      </c>
      <c r="D6" s="3" t="s">
        <v>63</v>
      </c>
      <c r="E6" s="3">
        <v>9.33</v>
      </c>
      <c r="F6" s="3">
        <v>2.59</v>
      </c>
      <c r="G6" s="3">
        <v>0.26</v>
      </c>
      <c r="H6" s="3">
        <v>1964</v>
      </c>
      <c r="I6" s="3" t="s">
        <v>87</v>
      </c>
      <c r="J6" s="3" t="s">
        <v>78</v>
      </c>
      <c r="K6" s="20" t="s">
        <v>88</v>
      </c>
      <c r="L6" s="3" t="s">
        <v>14</v>
      </c>
      <c r="M6" s="3" t="s">
        <v>15</v>
      </c>
    </row>
    <row r="7" spans="1:13" ht="57">
      <c r="A7" s="3" t="s">
        <v>11</v>
      </c>
      <c r="B7" s="3" t="s">
        <v>12</v>
      </c>
      <c r="C7" s="3" t="s">
        <v>13</v>
      </c>
      <c r="D7" s="3" t="s">
        <v>64</v>
      </c>
      <c r="E7" s="3">
        <v>9.8800000000000008</v>
      </c>
      <c r="F7" s="3">
        <v>2.92</v>
      </c>
      <c r="G7" s="3">
        <v>0.22</v>
      </c>
      <c r="H7" s="3">
        <v>1982</v>
      </c>
      <c r="I7" s="3" t="s">
        <v>87</v>
      </c>
      <c r="J7" s="3" t="s">
        <v>78</v>
      </c>
      <c r="K7" s="20" t="s">
        <v>88</v>
      </c>
      <c r="L7" s="3" t="s">
        <v>14</v>
      </c>
      <c r="M7" s="3" t="s">
        <v>15</v>
      </c>
    </row>
    <row r="8" spans="1:13" ht="57">
      <c r="A8" s="3" t="s">
        <v>11</v>
      </c>
      <c r="B8" s="3" t="s">
        <v>12</v>
      </c>
      <c r="C8" s="3" t="s">
        <v>13</v>
      </c>
      <c r="D8" s="3" t="s">
        <v>65</v>
      </c>
      <c r="E8" s="3">
        <v>9.5500000000000007</v>
      </c>
      <c r="F8" s="3">
        <v>2.7</v>
      </c>
      <c r="G8" s="3">
        <v>0.25</v>
      </c>
      <c r="H8" s="3">
        <v>2168</v>
      </c>
      <c r="I8" s="3" t="s">
        <v>87</v>
      </c>
      <c r="J8" s="3" t="s">
        <v>78</v>
      </c>
      <c r="K8" s="20" t="s">
        <v>88</v>
      </c>
      <c r="L8" s="3" t="s">
        <v>14</v>
      </c>
      <c r="M8" s="3" t="s">
        <v>15</v>
      </c>
    </row>
    <row r="9" spans="1:13" ht="57">
      <c r="A9" s="3" t="s">
        <v>11</v>
      </c>
      <c r="B9" s="3" t="s">
        <v>12</v>
      </c>
      <c r="C9" s="3" t="s">
        <v>13</v>
      </c>
      <c r="D9" s="3" t="s">
        <v>66</v>
      </c>
      <c r="E9" s="3">
        <v>10.07</v>
      </c>
      <c r="F9" s="3">
        <v>2.5299999999999998</v>
      </c>
      <c r="G9" s="3">
        <v>0.32</v>
      </c>
      <c r="H9" s="3">
        <v>2071</v>
      </c>
      <c r="I9" s="3" t="s">
        <v>87</v>
      </c>
      <c r="J9" s="3" t="s">
        <v>78</v>
      </c>
      <c r="K9" s="20" t="s">
        <v>88</v>
      </c>
      <c r="L9" s="3" t="s">
        <v>14</v>
      </c>
      <c r="M9" s="3" t="s">
        <v>15</v>
      </c>
    </row>
    <row r="10" spans="1:13" ht="57">
      <c r="A10" s="3" t="s">
        <v>11</v>
      </c>
      <c r="B10" s="3" t="s">
        <v>12</v>
      </c>
      <c r="C10" s="3" t="s">
        <v>13</v>
      </c>
      <c r="D10" s="3" t="s">
        <v>67</v>
      </c>
      <c r="E10" s="3">
        <v>9.3699999999999992</v>
      </c>
      <c r="F10" s="3">
        <v>2.63</v>
      </c>
      <c r="G10" s="3">
        <v>0.25</v>
      </c>
      <c r="H10" s="3">
        <v>2152</v>
      </c>
      <c r="I10" s="3" t="s">
        <v>87</v>
      </c>
      <c r="J10" s="3" t="s">
        <v>78</v>
      </c>
      <c r="K10" s="20" t="s">
        <v>88</v>
      </c>
      <c r="L10" s="3" t="s">
        <v>14</v>
      </c>
      <c r="M10" s="3" t="s">
        <v>15</v>
      </c>
    </row>
    <row r="11" spans="1:13" ht="57">
      <c r="A11" s="3" t="s">
        <v>11</v>
      </c>
      <c r="B11" s="3" t="s">
        <v>12</v>
      </c>
      <c r="C11" s="3" t="s">
        <v>13</v>
      </c>
      <c r="D11" s="3" t="s">
        <v>68</v>
      </c>
      <c r="E11" s="3">
        <v>9.2799999999999994</v>
      </c>
      <c r="F11" s="3">
        <v>2.59</v>
      </c>
      <c r="G11" s="3">
        <v>0.17</v>
      </c>
      <c r="H11" s="3">
        <v>1907</v>
      </c>
      <c r="I11" s="3" t="s">
        <v>87</v>
      </c>
      <c r="J11" s="3" t="s">
        <v>78</v>
      </c>
      <c r="K11" s="20" t="s">
        <v>88</v>
      </c>
      <c r="L11" s="3" t="s">
        <v>14</v>
      </c>
      <c r="M11" s="3" t="s">
        <v>15</v>
      </c>
    </row>
    <row r="12" spans="1:13" ht="57">
      <c r="A12" s="3" t="s">
        <v>11</v>
      </c>
      <c r="B12" s="3" t="s">
        <v>12</v>
      </c>
      <c r="C12" s="3" t="s">
        <v>13</v>
      </c>
      <c r="D12" s="3" t="s">
        <v>69</v>
      </c>
      <c r="E12" s="3">
        <v>9.81</v>
      </c>
      <c r="F12" s="3">
        <v>2.2200000000000002</v>
      </c>
      <c r="G12" s="3">
        <v>0.2</v>
      </c>
      <c r="H12" s="3">
        <v>1888</v>
      </c>
      <c r="I12" s="3" t="s">
        <v>87</v>
      </c>
      <c r="J12" s="3" t="s">
        <v>78</v>
      </c>
      <c r="K12" s="20" t="s">
        <v>88</v>
      </c>
      <c r="L12" s="3" t="s">
        <v>14</v>
      </c>
      <c r="M12" s="3" t="s">
        <v>15</v>
      </c>
    </row>
    <row r="13" spans="1:13" ht="57">
      <c r="A13" s="3" t="s">
        <v>11</v>
      </c>
      <c r="B13" s="3" t="s">
        <v>12</v>
      </c>
      <c r="C13" s="3" t="s">
        <v>13</v>
      </c>
      <c r="D13" s="3" t="s">
        <v>70</v>
      </c>
      <c r="E13" s="3">
        <v>10.19</v>
      </c>
      <c r="F13" s="3">
        <v>2.74</v>
      </c>
      <c r="G13" s="3">
        <v>0.23</v>
      </c>
      <c r="H13" s="3">
        <v>2100</v>
      </c>
      <c r="I13" s="3" t="s">
        <v>87</v>
      </c>
      <c r="J13" s="3" t="s">
        <v>78</v>
      </c>
      <c r="K13" s="20" t="s">
        <v>88</v>
      </c>
      <c r="L13" s="3" t="s">
        <v>14</v>
      </c>
      <c r="M13" s="3" t="s">
        <v>15</v>
      </c>
    </row>
    <row r="14" spans="1:13" ht="57">
      <c r="A14" s="3" t="s">
        <v>17</v>
      </c>
      <c r="B14" s="3" t="s">
        <v>18</v>
      </c>
      <c r="C14" s="3" t="s">
        <v>19</v>
      </c>
      <c r="D14" s="3" t="s">
        <v>56</v>
      </c>
      <c r="E14" s="3">
        <v>13.88</v>
      </c>
      <c r="F14" s="3">
        <v>2.78</v>
      </c>
      <c r="G14" s="3">
        <v>0.4</v>
      </c>
      <c r="H14" s="3">
        <v>2862</v>
      </c>
      <c r="I14" s="3" t="s">
        <v>89</v>
      </c>
      <c r="J14" s="3" t="s">
        <v>78</v>
      </c>
      <c r="K14" s="20" t="s">
        <v>88</v>
      </c>
      <c r="L14" s="3" t="s">
        <v>19</v>
      </c>
      <c r="M14" s="3" t="s">
        <v>15</v>
      </c>
    </row>
    <row r="15" spans="1:13" ht="57">
      <c r="A15" s="3" t="s">
        <v>17</v>
      </c>
      <c r="B15" s="3" t="s">
        <v>18</v>
      </c>
      <c r="C15" s="3" t="s">
        <v>19</v>
      </c>
      <c r="D15" s="3" t="s">
        <v>60</v>
      </c>
      <c r="E15" s="3">
        <v>12.38</v>
      </c>
      <c r="F15" s="3">
        <v>2.06</v>
      </c>
      <c r="G15" s="3">
        <v>0.56000000000000005</v>
      </c>
      <c r="H15" s="3">
        <v>2539</v>
      </c>
      <c r="I15" s="3" t="s">
        <v>89</v>
      </c>
      <c r="J15" s="3" t="s">
        <v>78</v>
      </c>
      <c r="K15" s="20" t="s">
        <v>88</v>
      </c>
      <c r="L15" s="3" t="s">
        <v>19</v>
      </c>
      <c r="M15" s="3" t="s">
        <v>15</v>
      </c>
    </row>
    <row r="16" spans="1:13" ht="57">
      <c r="A16" s="3" t="s">
        <v>17</v>
      </c>
      <c r="B16" s="3" t="s">
        <v>18</v>
      </c>
      <c r="C16" s="3" t="s">
        <v>19</v>
      </c>
      <c r="D16" s="3" t="s">
        <v>61</v>
      </c>
      <c r="E16" s="3">
        <v>12.81</v>
      </c>
      <c r="F16" s="3">
        <v>2.4500000000000002</v>
      </c>
      <c r="G16" s="3">
        <v>0.55000000000000004</v>
      </c>
      <c r="H16" s="3">
        <v>2709</v>
      </c>
      <c r="I16" s="3" t="s">
        <v>89</v>
      </c>
      <c r="J16" s="3" t="s">
        <v>78</v>
      </c>
      <c r="K16" s="20" t="s">
        <v>88</v>
      </c>
      <c r="L16" s="3" t="s">
        <v>19</v>
      </c>
      <c r="M16" s="3" t="s">
        <v>15</v>
      </c>
    </row>
    <row r="17" spans="1:13" ht="57">
      <c r="A17" s="3" t="s">
        <v>17</v>
      </c>
      <c r="B17" s="3" t="s">
        <v>18</v>
      </c>
      <c r="C17" s="3" t="s">
        <v>19</v>
      </c>
      <c r="D17" s="3" t="s">
        <v>62</v>
      </c>
      <c r="E17" s="3">
        <v>13.24</v>
      </c>
      <c r="F17" s="3">
        <v>2.0699999999999998</v>
      </c>
      <c r="G17" s="3">
        <v>0.41</v>
      </c>
      <c r="H17" s="3">
        <v>2472</v>
      </c>
      <c r="I17" s="3" t="s">
        <v>89</v>
      </c>
      <c r="J17" s="3" t="s">
        <v>78</v>
      </c>
      <c r="K17" s="20" t="s">
        <v>88</v>
      </c>
      <c r="L17" s="3" t="s">
        <v>19</v>
      </c>
      <c r="M17" s="3" t="s">
        <v>15</v>
      </c>
    </row>
    <row r="18" spans="1:13" ht="57">
      <c r="A18" s="3" t="s">
        <v>17</v>
      </c>
      <c r="B18" s="3" t="s">
        <v>18</v>
      </c>
      <c r="C18" s="3" t="s">
        <v>19</v>
      </c>
      <c r="D18" s="3" t="s">
        <v>63</v>
      </c>
      <c r="E18" s="3">
        <v>13.25</v>
      </c>
      <c r="F18" s="3">
        <v>2.78</v>
      </c>
      <c r="G18" s="3">
        <v>0.59</v>
      </c>
      <c r="H18" s="3">
        <v>2609</v>
      </c>
      <c r="I18" s="3" t="s">
        <v>89</v>
      </c>
      <c r="J18" s="3" t="s">
        <v>78</v>
      </c>
      <c r="K18" s="20" t="s">
        <v>88</v>
      </c>
      <c r="L18" s="3" t="s">
        <v>19</v>
      </c>
      <c r="M18" s="3" t="s">
        <v>15</v>
      </c>
    </row>
    <row r="19" spans="1:13" ht="57">
      <c r="A19" s="3" t="s">
        <v>17</v>
      </c>
      <c r="B19" s="3" t="s">
        <v>18</v>
      </c>
      <c r="C19" s="3" t="s">
        <v>19</v>
      </c>
      <c r="D19" s="3" t="s">
        <v>64</v>
      </c>
      <c r="E19" s="3">
        <v>15.01</v>
      </c>
      <c r="F19" s="3">
        <v>2.54</v>
      </c>
      <c r="G19" s="3">
        <v>0.66</v>
      </c>
      <c r="H19" s="3">
        <v>2883</v>
      </c>
      <c r="I19" s="3" t="s">
        <v>89</v>
      </c>
      <c r="J19" s="3" t="s">
        <v>78</v>
      </c>
      <c r="K19" s="20" t="s">
        <v>88</v>
      </c>
      <c r="L19" s="3" t="s">
        <v>19</v>
      </c>
      <c r="M19" s="3" t="s">
        <v>15</v>
      </c>
    </row>
    <row r="20" spans="1:13" ht="57">
      <c r="A20" s="3" t="s">
        <v>17</v>
      </c>
      <c r="B20" s="3" t="s">
        <v>18</v>
      </c>
      <c r="C20" s="3" t="s">
        <v>19</v>
      </c>
      <c r="D20" s="3" t="s">
        <v>65</v>
      </c>
      <c r="E20" s="3">
        <v>14.16</v>
      </c>
      <c r="F20" s="3">
        <v>2.35</v>
      </c>
      <c r="G20" s="3">
        <v>0.51</v>
      </c>
      <c r="H20" s="3">
        <v>2633</v>
      </c>
      <c r="I20" s="3" t="s">
        <v>89</v>
      </c>
      <c r="J20" s="3" t="s">
        <v>78</v>
      </c>
      <c r="K20" s="20" t="s">
        <v>88</v>
      </c>
      <c r="L20" s="3" t="s">
        <v>19</v>
      </c>
      <c r="M20" s="3" t="s">
        <v>15</v>
      </c>
    </row>
    <row r="21" spans="1:13" ht="57">
      <c r="A21" s="3" t="s">
        <v>17</v>
      </c>
      <c r="B21" s="3" t="s">
        <v>18</v>
      </c>
      <c r="C21" s="3" t="s">
        <v>19</v>
      </c>
      <c r="D21" s="3" t="s">
        <v>66</v>
      </c>
      <c r="E21" s="3">
        <v>13.7</v>
      </c>
      <c r="F21" s="3">
        <v>2.97</v>
      </c>
      <c r="G21" s="3">
        <v>0.47</v>
      </c>
      <c r="H21" s="3">
        <v>2628</v>
      </c>
      <c r="I21" s="3" t="s">
        <v>89</v>
      </c>
      <c r="J21" s="3" t="s">
        <v>78</v>
      </c>
      <c r="K21" s="20" t="s">
        <v>88</v>
      </c>
      <c r="L21" s="3" t="s">
        <v>19</v>
      </c>
      <c r="M21" s="3" t="s">
        <v>15</v>
      </c>
    </row>
    <row r="22" spans="1:13" ht="57">
      <c r="A22" s="3" t="s">
        <v>17</v>
      </c>
      <c r="B22" s="3" t="s">
        <v>18</v>
      </c>
      <c r="C22" s="3" t="s">
        <v>19</v>
      </c>
      <c r="D22" s="3" t="s">
        <v>67</v>
      </c>
      <c r="E22" s="3">
        <v>13.94</v>
      </c>
      <c r="F22" s="3">
        <v>2.72</v>
      </c>
      <c r="G22" s="3">
        <v>0.37</v>
      </c>
      <c r="H22" s="3">
        <v>2532</v>
      </c>
      <c r="I22" s="3" t="s">
        <v>89</v>
      </c>
      <c r="J22" s="3" t="s">
        <v>78</v>
      </c>
      <c r="K22" s="20" t="s">
        <v>88</v>
      </c>
      <c r="L22" s="3" t="s">
        <v>19</v>
      </c>
      <c r="M22" s="3" t="s">
        <v>15</v>
      </c>
    </row>
    <row r="23" spans="1:13" ht="57">
      <c r="A23" s="3" t="s">
        <v>17</v>
      </c>
      <c r="B23" s="3" t="s">
        <v>18</v>
      </c>
      <c r="C23" s="3" t="s">
        <v>19</v>
      </c>
      <c r="D23" s="3" t="s">
        <v>68</v>
      </c>
      <c r="E23" s="3">
        <v>12.65</v>
      </c>
      <c r="F23" s="3">
        <v>2.38</v>
      </c>
      <c r="G23" s="3">
        <v>0.53</v>
      </c>
      <c r="H23" s="3">
        <v>2520</v>
      </c>
      <c r="I23" s="3" t="s">
        <v>89</v>
      </c>
      <c r="J23" s="3" t="s">
        <v>78</v>
      </c>
      <c r="K23" s="20" t="s">
        <v>88</v>
      </c>
      <c r="L23" s="3" t="s">
        <v>19</v>
      </c>
      <c r="M23" s="3" t="s">
        <v>15</v>
      </c>
    </row>
    <row r="24" spans="1:13" ht="57">
      <c r="A24" s="3" t="s">
        <v>17</v>
      </c>
      <c r="B24" s="3" t="s">
        <v>18</v>
      </c>
      <c r="C24" s="3" t="s">
        <v>19</v>
      </c>
      <c r="D24" s="3" t="s">
        <v>69</v>
      </c>
      <c r="E24" s="3">
        <v>13.3</v>
      </c>
      <c r="F24" s="3">
        <v>2.21</v>
      </c>
      <c r="G24" s="3">
        <v>0.61</v>
      </c>
      <c r="H24" s="3">
        <v>2641</v>
      </c>
      <c r="I24" s="3" t="s">
        <v>89</v>
      </c>
      <c r="J24" s="3" t="s">
        <v>78</v>
      </c>
      <c r="K24" s="20" t="s">
        <v>88</v>
      </c>
      <c r="L24" s="3" t="s">
        <v>19</v>
      </c>
      <c r="M24" s="3" t="s">
        <v>15</v>
      </c>
    </row>
    <row r="25" spans="1:13" ht="57">
      <c r="A25" s="3" t="s">
        <v>17</v>
      </c>
      <c r="B25" s="3" t="s">
        <v>18</v>
      </c>
      <c r="C25" s="3" t="s">
        <v>19</v>
      </c>
      <c r="D25" s="3" t="s">
        <v>70</v>
      </c>
      <c r="E25" s="3">
        <v>14.95</v>
      </c>
      <c r="F25" s="3">
        <v>3.33</v>
      </c>
      <c r="G25" s="3">
        <v>0.38</v>
      </c>
      <c r="H25" s="3">
        <v>3079</v>
      </c>
      <c r="I25" s="3" t="s">
        <v>89</v>
      </c>
      <c r="J25" s="3" t="s">
        <v>78</v>
      </c>
      <c r="K25" s="20" t="s">
        <v>88</v>
      </c>
      <c r="L25" s="3" t="s">
        <v>19</v>
      </c>
      <c r="M25" s="3" t="s">
        <v>15</v>
      </c>
    </row>
    <row r="26" spans="1:13" ht="57">
      <c r="A26" s="3" t="s">
        <v>20</v>
      </c>
      <c r="B26" s="3" t="s">
        <v>21</v>
      </c>
      <c r="C26" s="3" t="s">
        <v>22</v>
      </c>
      <c r="D26" s="3" t="s">
        <v>56</v>
      </c>
      <c r="E26" s="3">
        <v>7.86</v>
      </c>
      <c r="F26" s="3">
        <v>2.97</v>
      </c>
      <c r="G26" s="3">
        <v>0</v>
      </c>
      <c r="H26" s="3">
        <v>1790</v>
      </c>
      <c r="I26" s="3" t="s">
        <v>92</v>
      </c>
      <c r="J26" s="3" t="s">
        <v>78</v>
      </c>
      <c r="K26" s="20" t="s">
        <v>88</v>
      </c>
      <c r="L26" s="3" t="s">
        <v>23</v>
      </c>
      <c r="M26" s="3" t="s">
        <v>15</v>
      </c>
    </row>
    <row r="27" spans="1:13" ht="57">
      <c r="A27" s="3" t="s">
        <v>20</v>
      </c>
      <c r="B27" s="3" t="s">
        <v>21</v>
      </c>
      <c r="C27" s="3" t="s">
        <v>22</v>
      </c>
      <c r="D27" s="3" t="s">
        <v>60</v>
      </c>
      <c r="E27" s="3">
        <v>7.14</v>
      </c>
      <c r="F27" s="3">
        <v>2.91</v>
      </c>
      <c r="G27" s="3">
        <v>0</v>
      </c>
      <c r="H27" s="3">
        <v>1641</v>
      </c>
      <c r="I27" s="3" t="s">
        <v>92</v>
      </c>
      <c r="J27" s="3" t="s">
        <v>78</v>
      </c>
      <c r="K27" s="20" t="s">
        <v>88</v>
      </c>
      <c r="L27" s="3" t="s">
        <v>23</v>
      </c>
      <c r="M27" s="3" t="s">
        <v>15</v>
      </c>
    </row>
    <row r="28" spans="1:13" ht="57">
      <c r="A28" s="3" t="s">
        <v>20</v>
      </c>
      <c r="B28" s="3" t="s">
        <v>21</v>
      </c>
      <c r="C28" s="3" t="s">
        <v>22</v>
      </c>
      <c r="D28" s="3" t="s">
        <v>61</v>
      </c>
      <c r="E28" s="3">
        <v>7.72</v>
      </c>
      <c r="F28" s="3">
        <v>2.58</v>
      </c>
      <c r="G28" s="3">
        <v>0</v>
      </c>
      <c r="H28" s="3">
        <v>1847</v>
      </c>
      <c r="I28" s="3" t="s">
        <v>92</v>
      </c>
      <c r="J28" s="3" t="s">
        <v>78</v>
      </c>
      <c r="K28" s="20" t="s">
        <v>88</v>
      </c>
      <c r="L28" s="3" t="s">
        <v>23</v>
      </c>
      <c r="M28" s="3" t="s">
        <v>15</v>
      </c>
    </row>
    <row r="29" spans="1:13" ht="57">
      <c r="A29" s="3" t="s">
        <v>20</v>
      </c>
      <c r="B29" s="3" t="s">
        <v>21</v>
      </c>
      <c r="C29" s="3" t="s">
        <v>22</v>
      </c>
      <c r="D29" s="3" t="s">
        <v>62</v>
      </c>
      <c r="E29" s="3">
        <v>7.51</v>
      </c>
      <c r="F29" s="3">
        <v>2.83</v>
      </c>
      <c r="G29" s="3">
        <v>0</v>
      </c>
      <c r="H29" s="3">
        <v>1645</v>
      </c>
      <c r="I29" s="3" t="s">
        <v>92</v>
      </c>
      <c r="J29" s="3" t="s">
        <v>78</v>
      </c>
      <c r="K29" s="20" t="s">
        <v>88</v>
      </c>
      <c r="L29" s="3" t="s">
        <v>23</v>
      </c>
      <c r="M29" s="3" t="s">
        <v>15</v>
      </c>
    </row>
    <row r="30" spans="1:13" ht="57">
      <c r="A30" s="3" t="s">
        <v>20</v>
      </c>
      <c r="B30" s="3" t="s">
        <v>21</v>
      </c>
      <c r="C30" s="3" t="s">
        <v>22</v>
      </c>
      <c r="D30" s="3" t="s">
        <v>63</v>
      </c>
      <c r="E30" s="3">
        <v>8.32</v>
      </c>
      <c r="F30" s="3">
        <v>3.06</v>
      </c>
      <c r="G30" s="3">
        <v>0</v>
      </c>
      <c r="H30" s="3">
        <v>1891</v>
      </c>
      <c r="I30" s="3" t="s">
        <v>92</v>
      </c>
      <c r="J30" s="3" t="s">
        <v>78</v>
      </c>
      <c r="K30" s="20" t="s">
        <v>88</v>
      </c>
      <c r="L30" s="3" t="s">
        <v>23</v>
      </c>
      <c r="M30" s="3" t="s">
        <v>15</v>
      </c>
    </row>
    <row r="31" spans="1:13" ht="57">
      <c r="A31" s="3" t="s">
        <v>20</v>
      </c>
      <c r="B31" s="3" t="s">
        <v>21</v>
      </c>
      <c r="C31" s="3" t="s">
        <v>22</v>
      </c>
      <c r="D31" s="3" t="s">
        <v>64</v>
      </c>
      <c r="E31" s="3">
        <v>8.39</v>
      </c>
      <c r="F31" s="3">
        <v>2.92</v>
      </c>
      <c r="G31" s="3">
        <v>0</v>
      </c>
      <c r="H31" s="3">
        <v>2008</v>
      </c>
      <c r="I31" s="3" t="s">
        <v>92</v>
      </c>
      <c r="J31" s="3" t="s">
        <v>78</v>
      </c>
      <c r="K31" s="20" t="s">
        <v>88</v>
      </c>
      <c r="L31" s="3" t="s">
        <v>23</v>
      </c>
      <c r="M31" s="3" t="s">
        <v>15</v>
      </c>
    </row>
    <row r="32" spans="1:13" ht="57">
      <c r="A32" s="3" t="s">
        <v>20</v>
      </c>
      <c r="B32" s="3" t="s">
        <v>21</v>
      </c>
      <c r="C32" s="3" t="s">
        <v>22</v>
      </c>
      <c r="D32" s="3" t="s">
        <v>65</v>
      </c>
      <c r="E32" s="3">
        <v>8.3800000000000008</v>
      </c>
      <c r="F32" s="3">
        <v>3.32</v>
      </c>
      <c r="G32" s="3">
        <v>0</v>
      </c>
      <c r="H32" s="3">
        <v>1779</v>
      </c>
      <c r="I32" s="3" t="s">
        <v>92</v>
      </c>
      <c r="J32" s="3" t="s">
        <v>78</v>
      </c>
      <c r="K32" s="20" t="s">
        <v>88</v>
      </c>
      <c r="L32" s="3" t="s">
        <v>23</v>
      </c>
      <c r="M32" s="3" t="s">
        <v>15</v>
      </c>
    </row>
    <row r="33" spans="1:13" ht="57">
      <c r="A33" s="3" t="s">
        <v>20</v>
      </c>
      <c r="B33" s="3" t="s">
        <v>21</v>
      </c>
      <c r="C33" s="3" t="s">
        <v>22</v>
      </c>
      <c r="D33" s="3" t="s">
        <v>66</v>
      </c>
      <c r="E33" s="3">
        <v>8.16</v>
      </c>
      <c r="F33" s="3">
        <v>3.32</v>
      </c>
      <c r="G33" s="3">
        <v>0</v>
      </c>
      <c r="H33" s="3">
        <v>1891</v>
      </c>
      <c r="I33" s="3" t="s">
        <v>92</v>
      </c>
      <c r="J33" s="3" t="s">
        <v>78</v>
      </c>
      <c r="K33" s="20" t="s">
        <v>88</v>
      </c>
      <c r="L33" s="3" t="s">
        <v>23</v>
      </c>
      <c r="M33" s="3" t="s">
        <v>15</v>
      </c>
    </row>
    <row r="34" spans="1:13" ht="57">
      <c r="A34" s="3" t="s">
        <v>20</v>
      </c>
      <c r="B34" s="3" t="s">
        <v>21</v>
      </c>
      <c r="C34" s="3" t="s">
        <v>22</v>
      </c>
      <c r="D34" s="3" t="s">
        <v>67</v>
      </c>
      <c r="E34" s="3">
        <v>7.46</v>
      </c>
      <c r="F34" s="3">
        <v>2.9</v>
      </c>
      <c r="G34" s="3">
        <v>0</v>
      </c>
      <c r="H34" s="3">
        <v>1639</v>
      </c>
      <c r="I34" s="3" t="s">
        <v>92</v>
      </c>
      <c r="J34" s="3" t="s">
        <v>78</v>
      </c>
      <c r="K34" s="20" t="s">
        <v>88</v>
      </c>
      <c r="L34" s="3" t="s">
        <v>23</v>
      </c>
      <c r="M34" s="3" t="s">
        <v>15</v>
      </c>
    </row>
    <row r="35" spans="1:13" ht="57">
      <c r="A35" s="3" t="s">
        <v>20</v>
      </c>
      <c r="B35" s="3" t="s">
        <v>21</v>
      </c>
      <c r="C35" s="3" t="s">
        <v>22</v>
      </c>
      <c r="D35" s="3" t="s">
        <v>68</v>
      </c>
      <c r="E35" s="3">
        <v>7.67</v>
      </c>
      <c r="F35" s="3">
        <v>2.83</v>
      </c>
      <c r="G35" s="3">
        <v>0</v>
      </c>
      <c r="H35" s="3">
        <v>1874</v>
      </c>
      <c r="I35" s="3" t="s">
        <v>92</v>
      </c>
      <c r="J35" s="3" t="s">
        <v>78</v>
      </c>
      <c r="K35" s="20" t="s">
        <v>88</v>
      </c>
      <c r="L35" s="3" t="s">
        <v>23</v>
      </c>
      <c r="M35" s="3" t="s">
        <v>15</v>
      </c>
    </row>
    <row r="36" spans="1:13" ht="57">
      <c r="A36" s="3" t="s">
        <v>20</v>
      </c>
      <c r="B36" s="3" t="s">
        <v>21</v>
      </c>
      <c r="C36" s="3" t="s">
        <v>22</v>
      </c>
      <c r="D36" s="3" t="s">
        <v>69</v>
      </c>
      <c r="E36" s="3">
        <v>8.1199999999999992</v>
      </c>
      <c r="F36" s="3">
        <v>2.74</v>
      </c>
      <c r="G36" s="3">
        <v>0</v>
      </c>
      <c r="H36" s="3">
        <v>1884</v>
      </c>
      <c r="I36" s="3" t="s">
        <v>92</v>
      </c>
      <c r="J36" s="3" t="s">
        <v>81</v>
      </c>
      <c r="K36" s="20" t="s">
        <v>88</v>
      </c>
      <c r="L36" s="3" t="s">
        <v>23</v>
      </c>
      <c r="M36" s="3" t="s">
        <v>15</v>
      </c>
    </row>
    <row r="37" spans="1:13" ht="57">
      <c r="A37" s="3" t="s">
        <v>20</v>
      </c>
      <c r="B37" s="3" t="s">
        <v>21</v>
      </c>
      <c r="C37" s="3" t="s">
        <v>22</v>
      </c>
      <c r="D37" s="3" t="s">
        <v>70</v>
      </c>
      <c r="E37" s="3">
        <v>8.5299999999999994</v>
      </c>
      <c r="F37" s="3">
        <v>2.96</v>
      </c>
      <c r="G37" s="3">
        <v>0</v>
      </c>
      <c r="H37" s="3">
        <v>1945</v>
      </c>
      <c r="I37" s="3" t="s">
        <v>92</v>
      </c>
      <c r="J37" s="3" t="s">
        <v>81</v>
      </c>
      <c r="K37" s="20" t="s">
        <v>88</v>
      </c>
      <c r="L37" s="3" t="s">
        <v>23</v>
      </c>
      <c r="M37" s="3" t="s">
        <v>15</v>
      </c>
    </row>
    <row r="38" spans="1:13" ht="57">
      <c r="A38" s="3" t="s">
        <v>24</v>
      </c>
      <c r="B38" s="3" t="s">
        <v>25</v>
      </c>
      <c r="C38" s="3" t="s">
        <v>26</v>
      </c>
      <c r="D38" s="3" t="s">
        <v>56</v>
      </c>
      <c r="E38" s="3">
        <v>7.02</v>
      </c>
      <c r="F38" s="3">
        <v>1.83</v>
      </c>
      <c r="G38" s="3">
        <v>0</v>
      </c>
      <c r="H38" s="3">
        <v>1526</v>
      </c>
      <c r="I38" s="3" t="s">
        <v>93</v>
      </c>
      <c r="J38" s="3" t="s">
        <v>78</v>
      </c>
      <c r="K38" s="20" t="s">
        <v>88</v>
      </c>
      <c r="L38" s="3" t="s">
        <v>27</v>
      </c>
      <c r="M38" s="3" t="s">
        <v>15</v>
      </c>
    </row>
    <row r="39" spans="1:13" ht="57">
      <c r="A39" s="3" t="s">
        <v>24</v>
      </c>
      <c r="B39" s="3" t="s">
        <v>25</v>
      </c>
      <c r="C39" s="3" t="s">
        <v>26</v>
      </c>
      <c r="D39" s="3" t="s">
        <v>60</v>
      </c>
      <c r="E39" s="3">
        <v>6.48</v>
      </c>
      <c r="F39" s="3">
        <v>1.69</v>
      </c>
      <c r="G39" s="3">
        <v>0</v>
      </c>
      <c r="H39" s="3">
        <v>1444</v>
      </c>
      <c r="I39" s="3" t="s">
        <v>93</v>
      </c>
      <c r="J39" s="3" t="s">
        <v>78</v>
      </c>
      <c r="K39" s="20" t="s">
        <v>88</v>
      </c>
      <c r="L39" s="3" t="s">
        <v>27</v>
      </c>
      <c r="M39" s="3" t="s">
        <v>15</v>
      </c>
    </row>
    <row r="40" spans="1:13" ht="57">
      <c r="A40" s="3" t="s">
        <v>24</v>
      </c>
      <c r="B40" s="3" t="s">
        <v>25</v>
      </c>
      <c r="C40" s="3" t="s">
        <v>26</v>
      </c>
      <c r="D40" s="3" t="s">
        <v>61</v>
      </c>
      <c r="E40" s="3">
        <v>6.33</v>
      </c>
      <c r="F40" s="3">
        <v>2.0099999999999998</v>
      </c>
      <c r="G40" s="3">
        <v>0</v>
      </c>
      <c r="H40" s="3">
        <v>1336</v>
      </c>
      <c r="I40" s="3" t="s">
        <v>93</v>
      </c>
      <c r="J40" s="3" t="s">
        <v>78</v>
      </c>
      <c r="K40" s="20" t="s">
        <v>88</v>
      </c>
      <c r="L40" s="3" t="s">
        <v>27</v>
      </c>
      <c r="M40" s="3" t="s">
        <v>15</v>
      </c>
    </row>
    <row r="41" spans="1:13" ht="57">
      <c r="A41" s="3" t="s">
        <v>24</v>
      </c>
      <c r="B41" s="3" t="s">
        <v>25</v>
      </c>
      <c r="C41" s="3" t="s">
        <v>26</v>
      </c>
      <c r="D41" s="3" t="s">
        <v>62</v>
      </c>
      <c r="E41" s="3">
        <v>6.56</v>
      </c>
      <c r="F41" s="3">
        <v>1.95</v>
      </c>
      <c r="G41" s="3">
        <v>0</v>
      </c>
      <c r="H41" s="3">
        <v>1371</v>
      </c>
      <c r="I41" s="3" t="s">
        <v>93</v>
      </c>
      <c r="J41" s="3" t="s">
        <v>78</v>
      </c>
      <c r="K41" s="20" t="s">
        <v>88</v>
      </c>
      <c r="L41" s="3" t="s">
        <v>27</v>
      </c>
      <c r="M41" s="3" t="s">
        <v>15</v>
      </c>
    </row>
    <row r="42" spans="1:13" ht="57">
      <c r="A42" s="3" t="s">
        <v>24</v>
      </c>
      <c r="B42" s="3" t="s">
        <v>25</v>
      </c>
      <c r="C42" s="3" t="s">
        <v>26</v>
      </c>
      <c r="D42" s="3" t="s">
        <v>63</v>
      </c>
      <c r="E42" s="3">
        <v>7.4</v>
      </c>
      <c r="F42" s="3">
        <v>2.14</v>
      </c>
      <c r="G42" s="3">
        <v>0</v>
      </c>
      <c r="H42" s="3">
        <v>1671</v>
      </c>
      <c r="I42" s="3" t="s">
        <v>93</v>
      </c>
      <c r="J42" s="3" t="s">
        <v>78</v>
      </c>
      <c r="K42" s="20" t="s">
        <v>88</v>
      </c>
      <c r="L42" s="3" t="s">
        <v>27</v>
      </c>
      <c r="M42" s="3" t="s">
        <v>15</v>
      </c>
    </row>
    <row r="43" spans="1:13" ht="57">
      <c r="A43" s="3" t="s">
        <v>24</v>
      </c>
      <c r="B43" s="3" t="s">
        <v>25</v>
      </c>
      <c r="C43" s="3" t="s">
        <v>26</v>
      </c>
      <c r="D43" s="3" t="s">
        <v>64</v>
      </c>
      <c r="E43" s="3">
        <v>7.93</v>
      </c>
      <c r="F43" s="3">
        <v>2.0499999999999998</v>
      </c>
      <c r="G43" s="3">
        <v>0</v>
      </c>
      <c r="H43" s="3">
        <v>1633</v>
      </c>
      <c r="I43" s="3" t="s">
        <v>93</v>
      </c>
      <c r="J43" s="3" t="s">
        <v>78</v>
      </c>
      <c r="K43" s="20" t="s">
        <v>88</v>
      </c>
      <c r="L43" s="3" t="s">
        <v>27</v>
      </c>
      <c r="M43" s="3" t="s">
        <v>15</v>
      </c>
    </row>
    <row r="44" spans="1:13" ht="57">
      <c r="A44" s="3" t="s">
        <v>24</v>
      </c>
      <c r="B44" s="3" t="s">
        <v>25</v>
      </c>
      <c r="C44" s="3" t="s">
        <v>26</v>
      </c>
      <c r="D44" s="3" t="s">
        <v>65</v>
      </c>
      <c r="E44" s="3">
        <v>7.29</v>
      </c>
      <c r="F44" s="3">
        <v>2.0499999999999998</v>
      </c>
      <c r="G44" s="3">
        <v>0</v>
      </c>
      <c r="H44" s="3">
        <v>1613</v>
      </c>
      <c r="I44" s="3" t="s">
        <v>93</v>
      </c>
      <c r="J44" s="3" t="s">
        <v>78</v>
      </c>
      <c r="K44" s="20" t="s">
        <v>88</v>
      </c>
      <c r="L44" s="3" t="s">
        <v>27</v>
      </c>
      <c r="M44" s="3" t="s">
        <v>15</v>
      </c>
    </row>
    <row r="45" spans="1:13" ht="57">
      <c r="A45" s="3" t="s">
        <v>24</v>
      </c>
      <c r="B45" s="3" t="s">
        <v>25</v>
      </c>
      <c r="C45" s="3" t="s">
        <v>26</v>
      </c>
      <c r="D45" s="3" t="s">
        <v>66</v>
      </c>
      <c r="E45" s="3">
        <v>7.65</v>
      </c>
      <c r="F45" s="3">
        <v>1.92</v>
      </c>
      <c r="G45" s="3">
        <v>0</v>
      </c>
      <c r="H45" s="3">
        <v>1556</v>
      </c>
      <c r="I45" s="3" t="s">
        <v>93</v>
      </c>
      <c r="J45" s="3" t="s">
        <v>78</v>
      </c>
      <c r="K45" s="20" t="s">
        <v>88</v>
      </c>
      <c r="L45" s="3" t="s">
        <v>27</v>
      </c>
      <c r="M45" s="3" t="s">
        <v>15</v>
      </c>
    </row>
    <row r="46" spans="1:13" ht="57">
      <c r="A46" s="3" t="s">
        <v>24</v>
      </c>
      <c r="B46" s="3" t="s">
        <v>25</v>
      </c>
      <c r="C46" s="3" t="s">
        <v>26</v>
      </c>
      <c r="D46" s="3" t="s">
        <v>67</v>
      </c>
      <c r="E46" s="3">
        <v>7.23</v>
      </c>
      <c r="F46" s="3">
        <v>1.9</v>
      </c>
      <c r="G46" s="3">
        <v>0</v>
      </c>
      <c r="H46" s="3">
        <v>1527</v>
      </c>
      <c r="I46" s="3" t="s">
        <v>93</v>
      </c>
      <c r="J46" s="3" t="s">
        <v>78</v>
      </c>
      <c r="K46" s="20" t="s">
        <v>88</v>
      </c>
      <c r="L46" s="3" t="s">
        <v>27</v>
      </c>
      <c r="M46" s="3" t="s">
        <v>15</v>
      </c>
    </row>
    <row r="47" spans="1:13" ht="57">
      <c r="A47" s="3" t="s">
        <v>24</v>
      </c>
      <c r="B47" s="3" t="s">
        <v>25</v>
      </c>
      <c r="C47" s="3" t="s">
        <v>26</v>
      </c>
      <c r="D47" s="3" t="s">
        <v>68</v>
      </c>
      <c r="E47" s="3">
        <v>6.83</v>
      </c>
      <c r="F47" s="3">
        <v>1.81</v>
      </c>
      <c r="G47" s="3">
        <v>0</v>
      </c>
      <c r="H47" s="3">
        <v>1579</v>
      </c>
      <c r="I47" s="3" t="s">
        <v>93</v>
      </c>
      <c r="J47" s="3" t="s">
        <v>81</v>
      </c>
      <c r="K47" s="20" t="s">
        <v>88</v>
      </c>
      <c r="L47" s="3" t="s">
        <v>27</v>
      </c>
      <c r="M47" s="3" t="s">
        <v>15</v>
      </c>
    </row>
    <row r="48" spans="1:13" ht="57">
      <c r="A48" s="3" t="s">
        <v>24</v>
      </c>
      <c r="B48" s="3" t="s">
        <v>25</v>
      </c>
      <c r="C48" s="3" t="s">
        <v>26</v>
      </c>
      <c r="D48" s="3" t="s">
        <v>69</v>
      </c>
      <c r="E48" s="3">
        <v>6.85</v>
      </c>
      <c r="F48" s="3">
        <v>2.15</v>
      </c>
      <c r="G48" s="3">
        <v>0</v>
      </c>
      <c r="H48" s="3">
        <v>1410</v>
      </c>
      <c r="I48" s="3" t="s">
        <v>93</v>
      </c>
      <c r="J48" s="3" t="s">
        <v>81</v>
      </c>
      <c r="K48" s="20" t="s">
        <v>88</v>
      </c>
      <c r="L48" s="3" t="s">
        <v>27</v>
      </c>
      <c r="M48" s="3" t="s">
        <v>15</v>
      </c>
    </row>
    <row r="49" spans="1:13" ht="57">
      <c r="A49" s="3" t="s">
        <v>24</v>
      </c>
      <c r="B49" s="3" t="s">
        <v>25</v>
      </c>
      <c r="C49" s="3" t="s">
        <v>26</v>
      </c>
      <c r="D49" s="3" t="s">
        <v>70</v>
      </c>
      <c r="E49" s="3">
        <v>7.72</v>
      </c>
      <c r="F49" s="3">
        <v>2.41</v>
      </c>
      <c r="G49" s="3">
        <v>0</v>
      </c>
      <c r="H49" s="3">
        <v>1793</v>
      </c>
      <c r="I49" s="3" t="s">
        <v>93</v>
      </c>
      <c r="J49" s="3" t="s">
        <v>81</v>
      </c>
      <c r="K49" s="20" t="s">
        <v>88</v>
      </c>
      <c r="L49" s="3" t="s">
        <v>27</v>
      </c>
      <c r="M49" s="3" t="s">
        <v>15</v>
      </c>
    </row>
    <row r="50" spans="1:13" ht="57">
      <c r="A50" s="3" t="s">
        <v>28</v>
      </c>
      <c r="B50" s="3" t="s">
        <v>29</v>
      </c>
      <c r="C50" s="3" t="s">
        <v>30</v>
      </c>
      <c r="D50" s="3" t="s">
        <v>56</v>
      </c>
      <c r="E50" s="3">
        <v>5.12</v>
      </c>
      <c r="F50" s="3">
        <v>1.86</v>
      </c>
      <c r="G50" s="3">
        <v>0.12</v>
      </c>
      <c r="H50" s="3">
        <v>1209</v>
      </c>
      <c r="I50" s="3" t="s">
        <v>89</v>
      </c>
      <c r="J50" s="3" t="s">
        <v>78</v>
      </c>
      <c r="K50" s="20" t="s">
        <v>88</v>
      </c>
      <c r="L50" s="3" t="s">
        <v>30</v>
      </c>
      <c r="M50" s="3" t="s">
        <v>15</v>
      </c>
    </row>
    <row r="51" spans="1:13" ht="57">
      <c r="A51" s="3" t="s">
        <v>28</v>
      </c>
      <c r="B51" s="3" t="s">
        <v>29</v>
      </c>
      <c r="C51" s="3" t="s">
        <v>30</v>
      </c>
      <c r="D51" s="3" t="s">
        <v>60</v>
      </c>
      <c r="E51" s="3">
        <v>5.0199999999999996</v>
      </c>
      <c r="F51" s="3">
        <v>1.69</v>
      </c>
      <c r="G51" s="3">
        <v>0.18</v>
      </c>
      <c r="H51" s="3">
        <v>1198</v>
      </c>
      <c r="I51" s="3" t="s">
        <v>89</v>
      </c>
      <c r="J51" s="3" t="s">
        <v>78</v>
      </c>
      <c r="K51" s="20" t="s">
        <v>88</v>
      </c>
      <c r="L51" s="3" t="s">
        <v>30</v>
      </c>
      <c r="M51" s="3" t="s">
        <v>15</v>
      </c>
    </row>
    <row r="52" spans="1:13" ht="57">
      <c r="A52" s="3" t="s">
        <v>28</v>
      </c>
      <c r="B52" s="3" t="s">
        <v>29</v>
      </c>
      <c r="C52" s="3" t="s">
        <v>30</v>
      </c>
      <c r="D52" s="3" t="s">
        <v>61</v>
      </c>
      <c r="E52" s="3">
        <v>4.67</v>
      </c>
      <c r="F52" s="3">
        <v>1.87</v>
      </c>
      <c r="G52" s="3">
        <v>0.19</v>
      </c>
      <c r="H52" s="3">
        <v>1196</v>
      </c>
      <c r="I52" s="3" t="s">
        <v>89</v>
      </c>
      <c r="J52" s="3" t="s">
        <v>78</v>
      </c>
      <c r="K52" s="20" t="s">
        <v>88</v>
      </c>
      <c r="L52" s="3" t="s">
        <v>30</v>
      </c>
      <c r="M52" s="3" t="s">
        <v>15</v>
      </c>
    </row>
    <row r="53" spans="1:13" ht="57">
      <c r="A53" s="3" t="s">
        <v>28</v>
      </c>
      <c r="B53" s="3" t="s">
        <v>29</v>
      </c>
      <c r="C53" s="3" t="s">
        <v>30</v>
      </c>
      <c r="D53" s="3" t="s">
        <v>62</v>
      </c>
      <c r="E53" s="3">
        <v>5.16</v>
      </c>
      <c r="F53" s="3">
        <v>1.73</v>
      </c>
      <c r="G53" s="3">
        <v>0.14000000000000001</v>
      </c>
      <c r="H53" s="3">
        <v>1318</v>
      </c>
      <c r="I53" s="3" t="s">
        <v>89</v>
      </c>
      <c r="J53" s="3" t="s">
        <v>78</v>
      </c>
      <c r="K53" s="20" t="s">
        <v>88</v>
      </c>
      <c r="L53" s="3" t="s">
        <v>30</v>
      </c>
      <c r="M53" s="3" t="s">
        <v>15</v>
      </c>
    </row>
    <row r="54" spans="1:13" ht="57">
      <c r="A54" s="3" t="s">
        <v>28</v>
      </c>
      <c r="B54" s="3" t="s">
        <v>29</v>
      </c>
      <c r="C54" s="3" t="s">
        <v>30</v>
      </c>
      <c r="D54" s="3" t="s">
        <v>63</v>
      </c>
      <c r="E54" s="3">
        <v>5.27</v>
      </c>
      <c r="F54" s="3">
        <v>1.92</v>
      </c>
      <c r="G54" s="3">
        <v>0.19</v>
      </c>
      <c r="H54" s="3">
        <v>1179</v>
      </c>
      <c r="I54" s="3" t="s">
        <v>89</v>
      </c>
      <c r="J54" s="3" t="s">
        <v>78</v>
      </c>
      <c r="K54" s="20" t="s">
        <v>88</v>
      </c>
      <c r="L54" s="3" t="s">
        <v>30</v>
      </c>
      <c r="M54" s="3" t="s">
        <v>15</v>
      </c>
    </row>
    <row r="55" spans="1:13" ht="57">
      <c r="A55" s="3" t="s">
        <v>28</v>
      </c>
      <c r="B55" s="3" t="s">
        <v>29</v>
      </c>
      <c r="C55" s="3" t="s">
        <v>30</v>
      </c>
      <c r="D55" s="3" t="s">
        <v>64</v>
      </c>
      <c r="E55" s="3">
        <v>5.58</v>
      </c>
      <c r="F55" s="3">
        <v>2</v>
      </c>
      <c r="G55" s="3">
        <v>0.21</v>
      </c>
      <c r="H55" s="3">
        <v>1251</v>
      </c>
      <c r="I55" s="3" t="s">
        <v>89</v>
      </c>
      <c r="J55" s="3" t="s">
        <v>78</v>
      </c>
      <c r="K55" s="20" t="s">
        <v>88</v>
      </c>
      <c r="L55" s="3" t="s">
        <v>30</v>
      </c>
      <c r="M55" s="3" t="s">
        <v>15</v>
      </c>
    </row>
    <row r="56" spans="1:13" ht="57">
      <c r="A56" s="3" t="s">
        <v>28</v>
      </c>
      <c r="B56" s="3" t="s">
        <v>29</v>
      </c>
      <c r="C56" s="3" t="s">
        <v>30</v>
      </c>
      <c r="D56" s="3" t="s">
        <v>65</v>
      </c>
      <c r="E56" s="3">
        <v>5.71</v>
      </c>
      <c r="F56" s="3">
        <v>1.89</v>
      </c>
      <c r="G56" s="3">
        <v>0.14000000000000001</v>
      </c>
      <c r="H56" s="3">
        <v>1340</v>
      </c>
      <c r="I56" s="3" t="s">
        <v>89</v>
      </c>
      <c r="J56" s="3" t="s">
        <v>78</v>
      </c>
      <c r="K56" s="20" t="s">
        <v>88</v>
      </c>
      <c r="L56" s="3" t="s">
        <v>30</v>
      </c>
      <c r="M56" s="3" t="s">
        <v>15</v>
      </c>
    </row>
    <row r="57" spans="1:13" ht="57">
      <c r="A57" s="3" t="s">
        <v>28</v>
      </c>
      <c r="B57" s="3" t="s">
        <v>29</v>
      </c>
      <c r="C57" s="3" t="s">
        <v>30</v>
      </c>
      <c r="D57" s="3" t="s">
        <v>66</v>
      </c>
      <c r="E57" s="3">
        <v>5.42</v>
      </c>
      <c r="F57" s="3">
        <v>1.88</v>
      </c>
      <c r="G57" s="3">
        <v>0.13</v>
      </c>
      <c r="H57" s="3">
        <v>1359</v>
      </c>
      <c r="I57" s="3" t="s">
        <v>89</v>
      </c>
      <c r="J57" s="3" t="s">
        <v>78</v>
      </c>
      <c r="K57" s="20" t="s">
        <v>88</v>
      </c>
      <c r="L57" s="3" t="s">
        <v>30</v>
      </c>
      <c r="M57" s="3" t="s">
        <v>15</v>
      </c>
    </row>
    <row r="58" spans="1:13" ht="57">
      <c r="A58" s="3" t="s">
        <v>28</v>
      </c>
      <c r="B58" s="3" t="s">
        <v>29</v>
      </c>
      <c r="C58" s="3" t="s">
        <v>30</v>
      </c>
      <c r="D58" s="3" t="s">
        <v>67</v>
      </c>
      <c r="E58" s="3">
        <v>4.92</v>
      </c>
      <c r="F58" s="3">
        <v>1.82</v>
      </c>
      <c r="G58" s="3">
        <v>0.16</v>
      </c>
      <c r="H58" s="3">
        <v>1193</v>
      </c>
      <c r="I58" s="3" t="s">
        <v>89</v>
      </c>
      <c r="J58" s="3" t="s">
        <v>78</v>
      </c>
      <c r="K58" s="20" t="s">
        <v>88</v>
      </c>
      <c r="L58" s="3" t="s">
        <v>30</v>
      </c>
      <c r="M58" s="3" t="s">
        <v>15</v>
      </c>
    </row>
    <row r="59" spans="1:13" ht="57">
      <c r="A59" s="3" t="s">
        <v>28</v>
      </c>
      <c r="B59" s="3" t="s">
        <v>29</v>
      </c>
      <c r="C59" s="3" t="s">
        <v>30</v>
      </c>
      <c r="D59" s="3" t="s">
        <v>68</v>
      </c>
      <c r="E59" s="3">
        <v>4.9800000000000004</v>
      </c>
      <c r="F59" s="3">
        <v>1.78</v>
      </c>
      <c r="G59" s="3">
        <v>0.2</v>
      </c>
      <c r="H59" s="3">
        <v>1158</v>
      </c>
      <c r="I59" s="3" t="s">
        <v>89</v>
      </c>
      <c r="J59" s="3" t="s">
        <v>78</v>
      </c>
      <c r="K59" s="20" t="s">
        <v>88</v>
      </c>
      <c r="L59" s="3" t="s">
        <v>30</v>
      </c>
      <c r="M59" s="3" t="s">
        <v>15</v>
      </c>
    </row>
    <row r="60" spans="1:13" ht="57">
      <c r="A60" s="3" t="s">
        <v>28</v>
      </c>
      <c r="B60" s="3" t="s">
        <v>29</v>
      </c>
      <c r="C60" s="3" t="s">
        <v>30</v>
      </c>
      <c r="D60" s="3" t="s">
        <v>69</v>
      </c>
      <c r="E60" s="3">
        <v>5.34</v>
      </c>
      <c r="F60" s="3">
        <v>1.82</v>
      </c>
      <c r="G60" s="3">
        <v>0.15</v>
      </c>
      <c r="H60" s="3">
        <v>1298</v>
      </c>
      <c r="I60" s="3" t="s">
        <v>89</v>
      </c>
      <c r="J60" s="3" t="s">
        <v>81</v>
      </c>
      <c r="K60" s="20" t="s">
        <v>88</v>
      </c>
      <c r="L60" s="3" t="s">
        <v>30</v>
      </c>
      <c r="M60" s="3" t="s">
        <v>15</v>
      </c>
    </row>
    <row r="61" spans="1:13" ht="57">
      <c r="A61" s="3" t="s">
        <v>28</v>
      </c>
      <c r="B61" s="3" t="s">
        <v>29</v>
      </c>
      <c r="C61" s="3" t="s">
        <v>30</v>
      </c>
      <c r="D61" s="3" t="s">
        <v>70</v>
      </c>
      <c r="E61" s="3">
        <v>5.53</v>
      </c>
      <c r="F61" s="3">
        <v>1.89</v>
      </c>
      <c r="G61" s="3">
        <v>0.2</v>
      </c>
      <c r="H61" s="3">
        <v>1212</v>
      </c>
      <c r="I61" s="3" t="s">
        <v>89</v>
      </c>
      <c r="J61" s="3" t="s">
        <v>81</v>
      </c>
      <c r="K61" s="20" t="s">
        <v>88</v>
      </c>
      <c r="L61" s="3" t="s">
        <v>30</v>
      </c>
      <c r="M61" s="3" t="s">
        <v>15</v>
      </c>
    </row>
    <row r="62" spans="1:13" ht="57">
      <c r="A62" s="3" t="s">
        <v>31</v>
      </c>
      <c r="B62" s="3" t="s">
        <v>32</v>
      </c>
      <c r="C62" s="3" t="s">
        <v>33</v>
      </c>
      <c r="D62" s="3" t="s">
        <v>56</v>
      </c>
      <c r="E62" s="3">
        <v>12.69</v>
      </c>
      <c r="F62" s="3">
        <v>2.9</v>
      </c>
      <c r="G62" s="3">
        <v>0</v>
      </c>
      <c r="H62" s="3">
        <v>2410</v>
      </c>
      <c r="I62" s="3" t="s">
        <v>94</v>
      </c>
      <c r="J62" s="3" t="s">
        <v>78</v>
      </c>
      <c r="K62" s="20" t="s">
        <v>88</v>
      </c>
      <c r="L62" s="3" t="s">
        <v>33</v>
      </c>
      <c r="M62" s="3" t="s">
        <v>15</v>
      </c>
    </row>
    <row r="63" spans="1:13" ht="57">
      <c r="A63" s="3" t="s">
        <v>31</v>
      </c>
      <c r="B63" s="3" t="s">
        <v>32</v>
      </c>
      <c r="C63" s="3" t="s">
        <v>33</v>
      </c>
      <c r="D63" s="3" t="s">
        <v>60</v>
      </c>
      <c r="E63" s="3">
        <v>10.97</v>
      </c>
      <c r="F63" s="3">
        <v>3.21</v>
      </c>
      <c r="G63" s="3">
        <v>0</v>
      </c>
      <c r="H63" s="3">
        <v>2276</v>
      </c>
      <c r="I63" s="3" t="s">
        <v>94</v>
      </c>
      <c r="J63" s="3" t="s">
        <v>78</v>
      </c>
      <c r="K63" s="20" t="s">
        <v>88</v>
      </c>
      <c r="L63" s="3" t="s">
        <v>33</v>
      </c>
      <c r="M63" s="3" t="s">
        <v>15</v>
      </c>
    </row>
    <row r="64" spans="1:13" ht="57">
      <c r="A64" s="3" t="s">
        <v>31</v>
      </c>
      <c r="B64" s="3" t="s">
        <v>32</v>
      </c>
      <c r="C64" s="3" t="s">
        <v>33</v>
      </c>
      <c r="D64" s="3" t="s">
        <v>61</v>
      </c>
      <c r="E64" s="3">
        <v>10.56</v>
      </c>
      <c r="F64" s="3">
        <v>3.05</v>
      </c>
      <c r="G64" s="3">
        <v>0</v>
      </c>
      <c r="H64" s="3">
        <v>2294</v>
      </c>
      <c r="I64" s="3" t="s">
        <v>94</v>
      </c>
      <c r="J64" s="3" t="s">
        <v>78</v>
      </c>
      <c r="K64" s="20" t="s">
        <v>88</v>
      </c>
      <c r="L64" s="3" t="s">
        <v>33</v>
      </c>
      <c r="M64" s="3" t="s">
        <v>15</v>
      </c>
    </row>
    <row r="65" spans="1:13" ht="57">
      <c r="A65" s="3" t="s">
        <v>31</v>
      </c>
      <c r="B65" s="3" t="s">
        <v>32</v>
      </c>
      <c r="C65" s="3" t="s">
        <v>33</v>
      </c>
      <c r="D65" s="3" t="s">
        <v>62</v>
      </c>
      <c r="E65" s="3">
        <v>11.65</v>
      </c>
      <c r="F65" s="3">
        <v>3.19</v>
      </c>
      <c r="G65" s="3">
        <v>0</v>
      </c>
      <c r="H65" s="3">
        <v>2545</v>
      </c>
      <c r="I65" s="3" t="s">
        <v>94</v>
      </c>
      <c r="J65" s="3" t="s">
        <v>78</v>
      </c>
      <c r="K65" s="20" t="s">
        <v>88</v>
      </c>
      <c r="L65" s="3" t="s">
        <v>33</v>
      </c>
      <c r="M65" s="3" t="s">
        <v>15</v>
      </c>
    </row>
    <row r="66" spans="1:13" ht="57">
      <c r="A66" s="3" t="s">
        <v>31</v>
      </c>
      <c r="B66" s="3" t="s">
        <v>32</v>
      </c>
      <c r="C66" s="3" t="s">
        <v>33</v>
      </c>
      <c r="D66" s="3" t="s">
        <v>63</v>
      </c>
      <c r="E66" s="3">
        <v>11.68</v>
      </c>
      <c r="F66" s="3">
        <v>3.21</v>
      </c>
      <c r="G66" s="3">
        <v>0</v>
      </c>
      <c r="H66" s="3">
        <v>2269</v>
      </c>
      <c r="I66" s="3" t="s">
        <v>94</v>
      </c>
      <c r="J66" s="3" t="s">
        <v>78</v>
      </c>
      <c r="K66" s="20" t="s">
        <v>88</v>
      </c>
      <c r="L66" s="3" t="s">
        <v>33</v>
      </c>
      <c r="M66" s="3" t="s">
        <v>15</v>
      </c>
    </row>
    <row r="67" spans="1:13" ht="57">
      <c r="A67" s="3" t="s">
        <v>31</v>
      </c>
      <c r="B67" s="3" t="s">
        <v>32</v>
      </c>
      <c r="C67" s="3" t="s">
        <v>33</v>
      </c>
      <c r="D67" s="3" t="s">
        <v>64</v>
      </c>
      <c r="E67" s="3">
        <v>12.59</v>
      </c>
      <c r="F67" s="3">
        <v>2.91</v>
      </c>
      <c r="G67" s="3">
        <v>0</v>
      </c>
      <c r="H67" s="3">
        <v>2403</v>
      </c>
      <c r="I67" s="3" t="s">
        <v>94</v>
      </c>
      <c r="J67" s="3" t="s">
        <v>78</v>
      </c>
      <c r="K67" s="20" t="s">
        <v>88</v>
      </c>
      <c r="L67" s="3" t="s">
        <v>33</v>
      </c>
      <c r="M67" s="3" t="s">
        <v>15</v>
      </c>
    </row>
    <row r="68" spans="1:13" ht="57">
      <c r="A68" s="3" t="s">
        <v>31</v>
      </c>
      <c r="B68" s="3" t="s">
        <v>32</v>
      </c>
      <c r="C68" s="3" t="s">
        <v>33</v>
      </c>
      <c r="D68" s="3" t="s">
        <v>65</v>
      </c>
      <c r="E68" s="3">
        <v>12.16</v>
      </c>
      <c r="F68" s="3">
        <v>3.4</v>
      </c>
      <c r="G68" s="3">
        <v>0</v>
      </c>
      <c r="H68" s="3">
        <v>2566</v>
      </c>
      <c r="I68" s="3" t="s">
        <v>94</v>
      </c>
      <c r="J68" s="3" t="s">
        <v>78</v>
      </c>
      <c r="K68" s="20" t="s">
        <v>88</v>
      </c>
      <c r="L68" s="3" t="s">
        <v>33</v>
      </c>
      <c r="M68" s="3" t="s">
        <v>15</v>
      </c>
    </row>
    <row r="69" spans="1:13" ht="57">
      <c r="A69" s="3" t="s">
        <v>31</v>
      </c>
      <c r="B69" s="3" t="s">
        <v>32</v>
      </c>
      <c r="C69" s="3" t="s">
        <v>33</v>
      </c>
      <c r="D69" s="3" t="s">
        <v>66</v>
      </c>
      <c r="E69" s="3">
        <v>11.78</v>
      </c>
      <c r="F69" s="3">
        <v>3.07</v>
      </c>
      <c r="G69" s="3">
        <v>0</v>
      </c>
      <c r="H69" s="3">
        <v>2559</v>
      </c>
      <c r="I69" s="3" t="s">
        <v>94</v>
      </c>
      <c r="J69" s="3" t="s">
        <v>78</v>
      </c>
      <c r="K69" s="20" t="s">
        <v>88</v>
      </c>
      <c r="L69" s="3" t="s">
        <v>33</v>
      </c>
      <c r="M69" s="3" t="s">
        <v>15</v>
      </c>
    </row>
    <row r="70" spans="1:13" ht="57">
      <c r="A70" s="3" t="s">
        <v>31</v>
      </c>
      <c r="B70" s="3" t="s">
        <v>32</v>
      </c>
      <c r="C70" s="3" t="s">
        <v>33</v>
      </c>
      <c r="D70" s="3" t="s">
        <v>67</v>
      </c>
      <c r="E70" s="3">
        <v>11.22</v>
      </c>
      <c r="F70" s="3">
        <v>2.87</v>
      </c>
      <c r="G70" s="3">
        <v>0</v>
      </c>
      <c r="H70" s="3">
        <v>2119</v>
      </c>
      <c r="I70" s="3" t="s">
        <v>94</v>
      </c>
      <c r="J70" s="3" t="s">
        <v>78</v>
      </c>
      <c r="K70" s="20" t="s">
        <v>88</v>
      </c>
      <c r="L70" s="3" t="s">
        <v>33</v>
      </c>
      <c r="M70" s="3" t="s">
        <v>15</v>
      </c>
    </row>
    <row r="71" spans="1:13" ht="57">
      <c r="A71" s="3" t="s">
        <v>31</v>
      </c>
      <c r="B71" s="3" t="s">
        <v>32</v>
      </c>
      <c r="C71" s="3" t="s">
        <v>33</v>
      </c>
      <c r="D71" s="3" t="s">
        <v>68</v>
      </c>
      <c r="E71" s="3">
        <v>11.46</v>
      </c>
      <c r="F71" s="3">
        <v>3.13</v>
      </c>
      <c r="G71" s="3">
        <v>0</v>
      </c>
      <c r="H71" s="3">
        <v>2480</v>
      </c>
      <c r="I71" s="3" t="s">
        <v>94</v>
      </c>
      <c r="J71" s="3" t="s">
        <v>78</v>
      </c>
      <c r="K71" s="20" t="s">
        <v>88</v>
      </c>
      <c r="L71" s="3" t="s">
        <v>33</v>
      </c>
      <c r="M71" s="3" t="s">
        <v>15</v>
      </c>
    </row>
    <row r="72" spans="1:13" ht="57">
      <c r="A72" s="3" t="s">
        <v>31</v>
      </c>
      <c r="B72" s="3" t="s">
        <v>32</v>
      </c>
      <c r="C72" s="3" t="s">
        <v>33</v>
      </c>
      <c r="D72" s="3" t="s">
        <v>69</v>
      </c>
      <c r="E72" s="3">
        <v>11.87</v>
      </c>
      <c r="F72" s="3">
        <v>3.04</v>
      </c>
      <c r="G72" s="3">
        <v>0</v>
      </c>
      <c r="H72" s="3">
        <v>2246</v>
      </c>
      <c r="I72" s="3" t="s">
        <v>94</v>
      </c>
      <c r="J72" s="3" t="s">
        <v>81</v>
      </c>
      <c r="K72" s="20" t="s">
        <v>88</v>
      </c>
      <c r="L72" s="3" t="s">
        <v>33</v>
      </c>
      <c r="M72" s="3" t="s">
        <v>15</v>
      </c>
    </row>
    <row r="73" spans="1:13" ht="57">
      <c r="A73" s="3" t="s">
        <v>31</v>
      </c>
      <c r="B73" s="3" t="s">
        <v>32</v>
      </c>
      <c r="C73" s="3" t="s">
        <v>33</v>
      </c>
      <c r="D73" s="3" t="s">
        <v>70</v>
      </c>
      <c r="E73" s="3">
        <v>12.73</v>
      </c>
      <c r="F73" s="3">
        <v>3.75</v>
      </c>
      <c r="G73" s="3">
        <v>0</v>
      </c>
      <c r="H73" s="3">
        <v>2785</v>
      </c>
      <c r="I73" s="3" t="s">
        <v>94</v>
      </c>
      <c r="J73" s="3" t="s">
        <v>81</v>
      </c>
      <c r="K73" s="20" t="s">
        <v>88</v>
      </c>
      <c r="L73" s="3" t="s">
        <v>33</v>
      </c>
      <c r="M73" s="3" t="s">
        <v>15</v>
      </c>
    </row>
    <row r="74" spans="1:13" ht="57">
      <c r="A74" s="3" t="s">
        <v>34</v>
      </c>
      <c r="B74" s="3" t="s">
        <v>35</v>
      </c>
      <c r="C74" s="3" t="s">
        <v>36</v>
      </c>
      <c r="D74" s="3" t="s">
        <v>56</v>
      </c>
      <c r="E74" s="3">
        <v>7.27</v>
      </c>
      <c r="F74" s="3">
        <v>2.4300000000000002</v>
      </c>
      <c r="G74" s="3">
        <v>0</v>
      </c>
      <c r="H74" s="3">
        <v>1725</v>
      </c>
      <c r="I74" s="3" t="s">
        <v>87</v>
      </c>
      <c r="J74" s="3" t="s">
        <v>78</v>
      </c>
      <c r="K74" s="20" t="s">
        <v>88</v>
      </c>
      <c r="L74" s="3" t="s">
        <v>37</v>
      </c>
      <c r="M74" s="3" t="s">
        <v>15</v>
      </c>
    </row>
    <row r="75" spans="1:13" ht="57">
      <c r="A75" s="3" t="s">
        <v>34</v>
      </c>
      <c r="B75" s="3" t="s">
        <v>35</v>
      </c>
      <c r="C75" s="3" t="s">
        <v>36</v>
      </c>
      <c r="D75" s="3" t="s">
        <v>60</v>
      </c>
      <c r="E75" s="3">
        <v>6.77</v>
      </c>
      <c r="F75" s="3">
        <v>2.63</v>
      </c>
      <c r="G75" s="3">
        <v>0</v>
      </c>
      <c r="H75" s="3">
        <v>1540</v>
      </c>
      <c r="I75" s="3" t="s">
        <v>87</v>
      </c>
      <c r="J75" s="3" t="s">
        <v>78</v>
      </c>
      <c r="K75" s="20" t="s">
        <v>88</v>
      </c>
      <c r="L75" s="3" t="s">
        <v>37</v>
      </c>
      <c r="M75" s="3" t="s">
        <v>15</v>
      </c>
    </row>
    <row r="76" spans="1:13" ht="57">
      <c r="A76" s="3" t="s">
        <v>34</v>
      </c>
      <c r="B76" s="3" t="s">
        <v>35</v>
      </c>
      <c r="C76" s="3" t="s">
        <v>36</v>
      </c>
      <c r="D76" s="3" t="s">
        <v>61</v>
      </c>
      <c r="E76" s="3">
        <v>6.56</v>
      </c>
      <c r="F76" s="3">
        <v>2.4700000000000002</v>
      </c>
      <c r="G76" s="3">
        <v>0</v>
      </c>
      <c r="H76" s="3">
        <v>1533</v>
      </c>
      <c r="I76" s="3" t="s">
        <v>87</v>
      </c>
      <c r="J76" s="3" t="s">
        <v>78</v>
      </c>
      <c r="K76" s="20" t="s">
        <v>88</v>
      </c>
      <c r="L76" s="3" t="s">
        <v>37</v>
      </c>
      <c r="M76" s="3" t="s">
        <v>15</v>
      </c>
    </row>
    <row r="77" spans="1:13" ht="57">
      <c r="A77" s="3" t="s">
        <v>34</v>
      </c>
      <c r="B77" s="3" t="s">
        <v>35</v>
      </c>
      <c r="C77" s="3" t="s">
        <v>36</v>
      </c>
      <c r="D77" s="3" t="s">
        <v>62</v>
      </c>
      <c r="E77" s="3">
        <v>7.28</v>
      </c>
      <c r="F77" s="3">
        <v>2.33</v>
      </c>
      <c r="G77" s="3">
        <v>0</v>
      </c>
      <c r="H77" s="3">
        <v>1731</v>
      </c>
      <c r="I77" s="3" t="s">
        <v>87</v>
      </c>
      <c r="J77" s="3" t="s">
        <v>78</v>
      </c>
      <c r="K77" s="20" t="s">
        <v>88</v>
      </c>
      <c r="L77" s="3" t="s">
        <v>37</v>
      </c>
      <c r="M77" s="3" t="s">
        <v>15</v>
      </c>
    </row>
    <row r="78" spans="1:13" ht="57">
      <c r="A78" s="3" t="s">
        <v>34</v>
      </c>
      <c r="B78" s="3" t="s">
        <v>35</v>
      </c>
      <c r="C78" s="3" t="s">
        <v>36</v>
      </c>
      <c r="D78" s="3" t="s">
        <v>63</v>
      </c>
      <c r="E78" s="3">
        <v>7.59</v>
      </c>
      <c r="F78" s="3">
        <v>2.88</v>
      </c>
      <c r="G78" s="3">
        <v>0</v>
      </c>
      <c r="H78" s="3">
        <v>1608</v>
      </c>
      <c r="I78" s="3" t="s">
        <v>87</v>
      </c>
      <c r="J78" s="3" t="s">
        <v>78</v>
      </c>
      <c r="K78" s="20" t="s">
        <v>88</v>
      </c>
      <c r="L78" s="3" t="s">
        <v>37</v>
      </c>
      <c r="M78" s="3" t="s">
        <v>15</v>
      </c>
    </row>
    <row r="79" spans="1:13" ht="57">
      <c r="A79" s="3" t="s">
        <v>34</v>
      </c>
      <c r="B79" s="3" t="s">
        <v>35</v>
      </c>
      <c r="C79" s="3" t="s">
        <v>36</v>
      </c>
      <c r="D79" s="3" t="s">
        <v>64</v>
      </c>
      <c r="E79" s="3">
        <v>8.1300000000000008</v>
      </c>
      <c r="F79" s="3">
        <v>2.73</v>
      </c>
      <c r="G79" s="3">
        <v>0</v>
      </c>
      <c r="H79" s="3">
        <v>1890</v>
      </c>
      <c r="I79" s="3" t="s">
        <v>87</v>
      </c>
      <c r="J79" s="3" t="s">
        <v>78</v>
      </c>
      <c r="K79" s="20" t="s">
        <v>88</v>
      </c>
      <c r="L79" s="3" t="s">
        <v>37</v>
      </c>
      <c r="M79" s="3" t="s">
        <v>15</v>
      </c>
    </row>
    <row r="80" spans="1:13" ht="57">
      <c r="A80" s="3" t="s">
        <v>34</v>
      </c>
      <c r="B80" s="3" t="s">
        <v>35</v>
      </c>
      <c r="C80" s="3" t="s">
        <v>36</v>
      </c>
      <c r="D80" s="3" t="s">
        <v>65</v>
      </c>
      <c r="E80" s="3">
        <v>7.66</v>
      </c>
      <c r="F80" s="3">
        <v>2.91</v>
      </c>
      <c r="G80" s="3">
        <v>0</v>
      </c>
      <c r="H80" s="3">
        <v>1846</v>
      </c>
      <c r="I80" s="3" t="s">
        <v>87</v>
      </c>
      <c r="J80" s="3" t="s">
        <v>78</v>
      </c>
      <c r="K80" s="20" t="s">
        <v>88</v>
      </c>
      <c r="L80" s="3" t="s">
        <v>37</v>
      </c>
      <c r="M80" s="3" t="s">
        <v>15</v>
      </c>
    </row>
    <row r="81" spans="1:13" ht="57">
      <c r="A81" s="3" t="s">
        <v>34</v>
      </c>
      <c r="B81" s="3" t="s">
        <v>35</v>
      </c>
      <c r="C81" s="3" t="s">
        <v>36</v>
      </c>
      <c r="D81" s="3" t="s">
        <v>66</v>
      </c>
      <c r="E81" s="3">
        <v>7.05</v>
      </c>
      <c r="F81" s="3">
        <v>2.72</v>
      </c>
      <c r="G81" s="3">
        <v>0</v>
      </c>
      <c r="H81" s="3">
        <v>1579</v>
      </c>
      <c r="I81" s="3" t="s">
        <v>87</v>
      </c>
      <c r="J81" s="3" t="s">
        <v>78</v>
      </c>
      <c r="K81" s="20" t="s">
        <v>88</v>
      </c>
      <c r="L81" s="3" t="s">
        <v>37</v>
      </c>
      <c r="M81" s="3" t="s">
        <v>15</v>
      </c>
    </row>
    <row r="82" spans="1:13" ht="57">
      <c r="A82" s="3" t="s">
        <v>34</v>
      </c>
      <c r="B82" s="3" t="s">
        <v>35</v>
      </c>
      <c r="C82" s="3" t="s">
        <v>36</v>
      </c>
      <c r="D82" s="3" t="s">
        <v>67</v>
      </c>
      <c r="E82" s="3">
        <v>7.38</v>
      </c>
      <c r="F82" s="3">
        <v>2.57</v>
      </c>
      <c r="G82" s="3">
        <v>0</v>
      </c>
      <c r="H82" s="3">
        <v>1761</v>
      </c>
      <c r="I82" s="3" t="s">
        <v>87</v>
      </c>
      <c r="J82" s="3" t="s">
        <v>78</v>
      </c>
      <c r="K82" s="20" t="s">
        <v>88</v>
      </c>
      <c r="L82" s="3" t="s">
        <v>37</v>
      </c>
      <c r="M82" s="3" t="s">
        <v>15</v>
      </c>
    </row>
    <row r="83" spans="1:13" ht="57">
      <c r="A83" s="3" t="s">
        <v>34</v>
      </c>
      <c r="B83" s="3" t="s">
        <v>35</v>
      </c>
      <c r="C83" s="3" t="s">
        <v>36</v>
      </c>
      <c r="D83" s="3" t="s">
        <v>68</v>
      </c>
      <c r="E83" s="3">
        <v>7.11</v>
      </c>
      <c r="F83" s="3">
        <v>2.2000000000000002</v>
      </c>
      <c r="G83" s="3">
        <v>0</v>
      </c>
      <c r="H83" s="3">
        <v>1549</v>
      </c>
      <c r="I83" s="3" t="s">
        <v>87</v>
      </c>
      <c r="J83" s="3" t="s">
        <v>78</v>
      </c>
      <c r="K83" s="20" t="s">
        <v>88</v>
      </c>
      <c r="L83" s="3" t="s">
        <v>37</v>
      </c>
      <c r="M83" s="3" t="s">
        <v>15</v>
      </c>
    </row>
    <row r="84" spans="1:13" ht="57">
      <c r="A84" s="3" t="s">
        <v>34</v>
      </c>
      <c r="B84" s="3" t="s">
        <v>35</v>
      </c>
      <c r="C84" s="3" t="s">
        <v>36</v>
      </c>
      <c r="D84" s="3" t="s">
        <v>69</v>
      </c>
      <c r="E84" s="3">
        <v>7.3</v>
      </c>
      <c r="F84" s="3">
        <v>2.88</v>
      </c>
      <c r="G84" s="3">
        <v>0</v>
      </c>
      <c r="H84" s="3">
        <v>1750</v>
      </c>
      <c r="I84" s="3" t="s">
        <v>87</v>
      </c>
      <c r="J84" s="3" t="s">
        <v>81</v>
      </c>
      <c r="K84" s="20" t="s">
        <v>88</v>
      </c>
      <c r="L84" s="3" t="s">
        <v>37</v>
      </c>
      <c r="M84" s="3" t="s">
        <v>15</v>
      </c>
    </row>
    <row r="85" spans="1:13" ht="57">
      <c r="A85" s="3" t="s">
        <v>34</v>
      </c>
      <c r="B85" s="3" t="s">
        <v>35</v>
      </c>
      <c r="C85" s="3" t="s">
        <v>36</v>
      </c>
      <c r="D85" s="3" t="s">
        <v>70</v>
      </c>
      <c r="E85" s="3">
        <v>7.57</v>
      </c>
      <c r="F85" s="3">
        <v>3</v>
      </c>
      <c r="G85" s="3">
        <v>0</v>
      </c>
      <c r="H85" s="3">
        <v>1890</v>
      </c>
      <c r="I85" s="3" t="s">
        <v>87</v>
      </c>
      <c r="J85" s="3" t="s">
        <v>81</v>
      </c>
      <c r="K85" s="20" t="s">
        <v>88</v>
      </c>
      <c r="L85" s="3" t="s">
        <v>37</v>
      </c>
      <c r="M85" s="3" t="s">
        <v>15</v>
      </c>
    </row>
    <row r="86" spans="1:13" ht="57">
      <c r="A86" s="3" t="s">
        <v>38</v>
      </c>
      <c r="B86" s="3" t="s">
        <v>39</v>
      </c>
      <c r="C86" s="3" t="s">
        <v>40</v>
      </c>
      <c r="D86" s="3" t="s">
        <v>56</v>
      </c>
      <c r="E86" s="3">
        <v>5.4</v>
      </c>
      <c r="F86" s="3">
        <v>2.2000000000000002</v>
      </c>
      <c r="G86" s="3">
        <v>0</v>
      </c>
      <c r="H86" s="3">
        <v>1239</v>
      </c>
      <c r="I86" s="3" t="s">
        <v>95</v>
      </c>
      <c r="J86" s="3" t="s">
        <v>78</v>
      </c>
      <c r="K86" s="20" t="s">
        <v>88</v>
      </c>
      <c r="L86" s="3" t="s">
        <v>40</v>
      </c>
      <c r="M86" s="3" t="s">
        <v>15</v>
      </c>
    </row>
    <row r="87" spans="1:13" ht="57">
      <c r="A87" s="3" t="s">
        <v>38</v>
      </c>
      <c r="B87" s="3" t="s">
        <v>39</v>
      </c>
      <c r="C87" s="3" t="s">
        <v>40</v>
      </c>
      <c r="D87" s="3" t="s">
        <v>60</v>
      </c>
      <c r="E87" s="3">
        <v>5.12</v>
      </c>
      <c r="F87" s="3">
        <v>1.97</v>
      </c>
      <c r="G87" s="3">
        <v>0</v>
      </c>
      <c r="H87" s="3">
        <v>1277</v>
      </c>
      <c r="I87" s="3" t="s">
        <v>95</v>
      </c>
      <c r="J87" s="3" t="s">
        <v>78</v>
      </c>
      <c r="K87" s="20" t="s">
        <v>88</v>
      </c>
      <c r="L87" s="3" t="s">
        <v>40</v>
      </c>
      <c r="M87" s="3" t="s">
        <v>15</v>
      </c>
    </row>
    <row r="88" spans="1:13" ht="57">
      <c r="A88" s="3" t="s">
        <v>38</v>
      </c>
      <c r="B88" s="3" t="s">
        <v>39</v>
      </c>
      <c r="C88" s="3" t="s">
        <v>40</v>
      </c>
      <c r="D88" s="3" t="s">
        <v>61</v>
      </c>
      <c r="E88" s="3">
        <v>5.39</v>
      </c>
      <c r="F88" s="3">
        <v>1.9</v>
      </c>
      <c r="G88" s="3">
        <v>0</v>
      </c>
      <c r="H88" s="3">
        <v>1231</v>
      </c>
      <c r="I88" s="3" t="s">
        <v>95</v>
      </c>
      <c r="J88" s="3" t="s">
        <v>78</v>
      </c>
      <c r="K88" s="20" t="s">
        <v>88</v>
      </c>
      <c r="L88" s="3" t="s">
        <v>40</v>
      </c>
      <c r="M88" s="3" t="s">
        <v>15</v>
      </c>
    </row>
    <row r="89" spans="1:13" ht="57">
      <c r="A89" s="3" t="s">
        <v>38</v>
      </c>
      <c r="B89" s="3" t="s">
        <v>39</v>
      </c>
      <c r="C89" s="3" t="s">
        <v>40</v>
      </c>
      <c r="D89" s="3" t="s">
        <v>62</v>
      </c>
      <c r="E89" s="3">
        <v>5.73</v>
      </c>
      <c r="F89" s="3">
        <v>1.82</v>
      </c>
      <c r="G89" s="3">
        <v>0</v>
      </c>
      <c r="H89" s="3">
        <v>1324</v>
      </c>
      <c r="I89" s="3" t="s">
        <v>95</v>
      </c>
      <c r="J89" s="3" t="s">
        <v>78</v>
      </c>
      <c r="K89" s="20" t="s">
        <v>88</v>
      </c>
      <c r="L89" s="3" t="s">
        <v>40</v>
      </c>
      <c r="M89" s="3" t="s">
        <v>15</v>
      </c>
    </row>
    <row r="90" spans="1:13" ht="57">
      <c r="A90" s="3" t="s">
        <v>38</v>
      </c>
      <c r="B90" s="3" t="s">
        <v>39</v>
      </c>
      <c r="C90" s="3" t="s">
        <v>40</v>
      </c>
      <c r="D90" s="3" t="s">
        <v>63</v>
      </c>
      <c r="E90" s="3">
        <v>5.78</v>
      </c>
      <c r="F90" s="3">
        <v>2.23</v>
      </c>
      <c r="G90" s="3">
        <v>0</v>
      </c>
      <c r="H90" s="3">
        <v>1346</v>
      </c>
      <c r="I90" s="3" t="s">
        <v>95</v>
      </c>
      <c r="J90" s="3" t="s">
        <v>78</v>
      </c>
      <c r="K90" s="20" t="s">
        <v>88</v>
      </c>
      <c r="L90" s="3" t="s">
        <v>40</v>
      </c>
      <c r="M90" s="3" t="s">
        <v>15</v>
      </c>
    </row>
    <row r="91" spans="1:13" ht="57">
      <c r="A91" s="3" t="s">
        <v>38</v>
      </c>
      <c r="B91" s="3" t="s">
        <v>39</v>
      </c>
      <c r="C91" s="3" t="s">
        <v>40</v>
      </c>
      <c r="D91" s="3" t="s">
        <v>64</v>
      </c>
      <c r="E91" s="3">
        <v>5.83</v>
      </c>
      <c r="F91" s="3">
        <v>2.2000000000000002</v>
      </c>
      <c r="G91" s="3">
        <v>0</v>
      </c>
      <c r="H91" s="3">
        <v>1338</v>
      </c>
      <c r="I91" s="3" t="s">
        <v>95</v>
      </c>
      <c r="J91" s="3" t="s">
        <v>78</v>
      </c>
      <c r="K91" s="20" t="s">
        <v>88</v>
      </c>
      <c r="L91" s="3" t="s">
        <v>40</v>
      </c>
      <c r="M91" s="3" t="s">
        <v>15</v>
      </c>
    </row>
    <row r="92" spans="1:13" ht="57">
      <c r="A92" s="3" t="s">
        <v>38</v>
      </c>
      <c r="B92" s="3" t="s">
        <v>39</v>
      </c>
      <c r="C92" s="3" t="s">
        <v>40</v>
      </c>
      <c r="D92" s="3" t="s">
        <v>65</v>
      </c>
      <c r="E92" s="3">
        <v>5.96</v>
      </c>
      <c r="F92" s="3">
        <v>2.2799999999999998</v>
      </c>
      <c r="G92" s="3">
        <v>0</v>
      </c>
      <c r="H92" s="3">
        <v>1364</v>
      </c>
      <c r="I92" s="3" t="s">
        <v>95</v>
      </c>
      <c r="J92" s="3" t="s">
        <v>78</v>
      </c>
      <c r="K92" s="20" t="s">
        <v>88</v>
      </c>
      <c r="L92" s="3" t="s">
        <v>40</v>
      </c>
      <c r="M92" s="3" t="s">
        <v>15</v>
      </c>
    </row>
    <row r="93" spans="1:13" ht="57">
      <c r="A93" s="3" t="s">
        <v>38</v>
      </c>
      <c r="B93" s="3" t="s">
        <v>39</v>
      </c>
      <c r="C93" s="3" t="s">
        <v>40</v>
      </c>
      <c r="D93" s="3" t="s">
        <v>66</v>
      </c>
      <c r="E93" s="3">
        <v>5.77</v>
      </c>
      <c r="F93" s="3">
        <v>2.04</v>
      </c>
      <c r="G93" s="3">
        <v>0</v>
      </c>
      <c r="H93" s="3">
        <v>1269</v>
      </c>
      <c r="I93" s="3" t="s">
        <v>95</v>
      </c>
      <c r="J93" s="3" t="s">
        <v>78</v>
      </c>
      <c r="K93" s="20" t="s">
        <v>88</v>
      </c>
      <c r="L93" s="3" t="s">
        <v>40</v>
      </c>
      <c r="M93" s="3" t="s">
        <v>15</v>
      </c>
    </row>
    <row r="94" spans="1:13" ht="57">
      <c r="A94" s="3" t="s">
        <v>38</v>
      </c>
      <c r="B94" s="3" t="s">
        <v>39</v>
      </c>
      <c r="C94" s="3" t="s">
        <v>40</v>
      </c>
      <c r="D94" s="3" t="s">
        <v>67</v>
      </c>
      <c r="E94" s="3">
        <v>5.36</v>
      </c>
      <c r="F94" s="3">
        <v>2.17</v>
      </c>
      <c r="G94" s="3">
        <v>0</v>
      </c>
      <c r="H94" s="3">
        <v>1398</v>
      </c>
      <c r="I94" s="3" t="s">
        <v>95</v>
      </c>
      <c r="J94" s="3" t="s">
        <v>78</v>
      </c>
      <c r="K94" s="20" t="s">
        <v>88</v>
      </c>
      <c r="L94" s="3" t="s">
        <v>40</v>
      </c>
      <c r="M94" s="3" t="s">
        <v>15</v>
      </c>
    </row>
    <row r="95" spans="1:13" ht="57">
      <c r="A95" s="3" t="s">
        <v>38</v>
      </c>
      <c r="B95" s="3" t="s">
        <v>39</v>
      </c>
      <c r="C95" s="3" t="s">
        <v>40</v>
      </c>
      <c r="D95" s="3" t="s">
        <v>68</v>
      </c>
      <c r="E95" s="3">
        <v>5.57</v>
      </c>
      <c r="F95" s="3">
        <v>1.92</v>
      </c>
      <c r="G95" s="3">
        <v>0</v>
      </c>
      <c r="H95" s="3">
        <v>1204</v>
      </c>
      <c r="I95" s="3" t="s">
        <v>95</v>
      </c>
      <c r="J95" s="3" t="s">
        <v>81</v>
      </c>
      <c r="K95" s="20" t="s">
        <v>88</v>
      </c>
      <c r="L95" s="3" t="s">
        <v>40</v>
      </c>
      <c r="M95" s="3" t="s">
        <v>15</v>
      </c>
    </row>
    <row r="96" spans="1:13" ht="57">
      <c r="A96" s="3" t="s">
        <v>38</v>
      </c>
      <c r="B96" s="3" t="s">
        <v>39</v>
      </c>
      <c r="C96" s="3" t="s">
        <v>40</v>
      </c>
      <c r="D96" s="3" t="s">
        <v>69</v>
      </c>
      <c r="E96" s="3">
        <v>5.6</v>
      </c>
      <c r="F96" s="3">
        <v>1.99</v>
      </c>
      <c r="G96" s="3">
        <v>0</v>
      </c>
      <c r="H96" s="3">
        <v>1354</v>
      </c>
      <c r="I96" s="3" t="s">
        <v>95</v>
      </c>
      <c r="J96" s="3" t="s">
        <v>81</v>
      </c>
      <c r="K96" s="20" t="s">
        <v>88</v>
      </c>
      <c r="L96" s="3" t="s">
        <v>40</v>
      </c>
      <c r="M96" s="3" t="s">
        <v>15</v>
      </c>
    </row>
    <row r="97" spans="1:13" ht="57">
      <c r="A97" s="3" t="s">
        <v>38</v>
      </c>
      <c r="B97" s="3" t="s">
        <v>39</v>
      </c>
      <c r="C97" s="3" t="s">
        <v>40</v>
      </c>
      <c r="D97" s="3" t="s">
        <v>70</v>
      </c>
      <c r="E97" s="3">
        <v>6.11</v>
      </c>
      <c r="F97" s="3">
        <v>2.1800000000000002</v>
      </c>
      <c r="G97" s="3">
        <v>0</v>
      </c>
      <c r="H97" s="3">
        <v>1408</v>
      </c>
      <c r="I97" s="3" t="s">
        <v>95</v>
      </c>
      <c r="J97" s="3" t="s">
        <v>81</v>
      </c>
      <c r="K97" s="20" t="s">
        <v>88</v>
      </c>
      <c r="L97" s="3" t="s">
        <v>40</v>
      </c>
      <c r="M97" s="3" t="s">
        <v>15</v>
      </c>
    </row>
    <row r="98" spans="1:13" ht="57">
      <c r="A98" s="3" t="s">
        <v>41</v>
      </c>
      <c r="B98" s="3" t="s">
        <v>42</v>
      </c>
      <c r="C98" s="3" t="s">
        <v>13</v>
      </c>
      <c r="D98" s="3" t="s">
        <v>56</v>
      </c>
      <c r="E98" s="3">
        <v>8.52</v>
      </c>
      <c r="F98" s="3">
        <v>4.0599999999999996</v>
      </c>
      <c r="G98" s="3">
        <v>0.24</v>
      </c>
      <c r="H98" s="3">
        <v>2059</v>
      </c>
      <c r="I98" s="3" t="s">
        <v>87</v>
      </c>
      <c r="J98" s="3" t="s">
        <v>78</v>
      </c>
      <c r="K98" s="20" t="s">
        <v>88</v>
      </c>
      <c r="L98" s="3" t="s">
        <v>14</v>
      </c>
      <c r="M98" s="3" t="s">
        <v>15</v>
      </c>
    </row>
    <row r="99" spans="1:13" ht="57">
      <c r="A99" s="3" t="s">
        <v>41</v>
      </c>
      <c r="B99" s="3" t="s">
        <v>42</v>
      </c>
      <c r="C99" s="3" t="s">
        <v>13</v>
      </c>
      <c r="D99" s="3" t="s">
        <v>60</v>
      </c>
      <c r="E99" s="3">
        <v>8.1199999999999992</v>
      </c>
      <c r="F99" s="3">
        <v>4.08</v>
      </c>
      <c r="G99" s="3">
        <v>0.24</v>
      </c>
      <c r="H99" s="3">
        <v>1971</v>
      </c>
      <c r="I99" s="3" t="s">
        <v>87</v>
      </c>
      <c r="J99" s="3" t="s">
        <v>78</v>
      </c>
      <c r="K99" s="20" t="s">
        <v>88</v>
      </c>
      <c r="L99" s="3" t="s">
        <v>14</v>
      </c>
      <c r="M99" s="3" t="s">
        <v>15</v>
      </c>
    </row>
    <row r="100" spans="1:13" ht="57">
      <c r="A100" s="3" t="s">
        <v>41</v>
      </c>
      <c r="B100" s="3" t="s">
        <v>42</v>
      </c>
      <c r="C100" s="3" t="s">
        <v>13</v>
      </c>
      <c r="D100" s="3" t="s">
        <v>61</v>
      </c>
      <c r="E100" s="3">
        <v>8.33</v>
      </c>
      <c r="F100" s="3">
        <v>3.58</v>
      </c>
      <c r="G100" s="3">
        <v>0.18</v>
      </c>
      <c r="H100" s="3">
        <v>2012</v>
      </c>
      <c r="I100" s="3" t="s">
        <v>87</v>
      </c>
      <c r="J100" s="3" t="s">
        <v>78</v>
      </c>
      <c r="K100" s="20" t="s">
        <v>88</v>
      </c>
      <c r="L100" s="3" t="s">
        <v>14</v>
      </c>
      <c r="M100" s="3" t="s">
        <v>15</v>
      </c>
    </row>
    <row r="101" spans="1:13" ht="57">
      <c r="A101" s="3" t="s">
        <v>41</v>
      </c>
      <c r="B101" s="3" t="s">
        <v>42</v>
      </c>
      <c r="C101" s="3" t="s">
        <v>13</v>
      </c>
      <c r="D101" s="3" t="s">
        <v>62</v>
      </c>
      <c r="E101" s="3">
        <v>8.92</v>
      </c>
      <c r="F101" s="3">
        <v>3.85</v>
      </c>
      <c r="G101" s="3">
        <v>0.22</v>
      </c>
      <c r="H101" s="3">
        <v>2187</v>
      </c>
      <c r="I101" s="3" t="s">
        <v>87</v>
      </c>
      <c r="J101" s="3" t="s">
        <v>78</v>
      </c>
      <c r="K101" s="20" t="s">
        <v>88</v>
      </c>
      <c r="L101" s="3" t="s">
        <v>14</v>
      </c>
      <c r="M101" s="3" t="s">
        <v>15</v>
      </c>
    </row>
    <row r="102" spans="1:13" ht="57">
      <c r="A102" s="3" t="s">
        <v>41</v>
      </c>
      <c r="B102" s="3" t="s">
        <v>42</v>
      </c>
      <c r="C102" s="3" t="s">
        <v>13</v>
      </c>
      <c r="D102" s="3" t="s">
        <v>63</v>
      </c>
      <c r="E102" s="3">
        <v>8.56</v>
      </c>
      <c r="F102" s="3">
        <v>4.2699999999999996</v>
      </c>
      <c r="G102" s="3">
        <v>0.23</v>
      </c>
      <c r="H102" s="3">
        <v>2056</v>
      </c>
      <c r="I102" s="3" t="s">
        <v>87</v>
      </c>
      <c r="J102" s="3" t="s">
        <v>78</v>
      </c>
      <c r="K102" s="20" t="s">
        <v>88</v>
      </c>
      <c r="L102" s="3" t="s">
        <v>14</v>
      </c>
      <c r="M102" s="3" t="s">
        <v>15</v>
      </c>
    </row>
    <row r="103" spans="1:13" ht="57">
      <c r="A103" s="3" t="s">
        <v>41</v>
      </c>
      <c r="B103" s="3" t="s">
        <v>42</v>
      </c>
      <c r="C103" s="3" t="s">
        <v>13</v>
      </c>
      <c r="D103" s="3" t="s">
        <v>64</v>
      </c>
      <c r="E103" s="3">
        <v>9.8800000000000008</v>
      </c>
      <c r="F103" s="3">
        <v>4.1500000000000004</v>
      </c>
      <c r="G103" s="3">
        <v>0.28999999999999998</v>
      </c>
      <c r="H103" s="3">
        <v>2424</v>
      </c>
      <c r="I103" s="3" t="s">
        <v>87</v>
      </c>
      <c r="J103" s="3" t="s">
        <v>78</v>
      </c>
      <c r="K103" s="20" t="s">
        <v>88</v>
      </c>
      <c r="L103" s="3" t="s">
        <v>14</v>
      </c>
      <c r="M103" s="3" t="s">
        <v>15</v>
      </c>
    </row>
    <row r="104" spans="1:13" ht="57">
      <c r="A104" s="3" t="s">
        <v>41</v>
      </c>
      <c r="B104" s="3" t="s">
        <v>42</v>
      </c>
      <c r="C104" s="3" t="s">
        <v>13</v>
      </c>
      <c r="D104" s="3" t="s">
        <v>65</v>
      </c>
      <c r="E104" s="3">
        <v>8.84</v>
      </c>
      <c r="F104" s="3">
        <v>4.1900000000000004</v>
      </c>
      <c r="G104" s="3">
        <v>0.19</v>
      </c>
      <c r="H104" s="3">
        <v>2339</v>
      </c>
      <c r="I104" s="3" t="s">
        <v>87</v>
      </c>
      <c r="J104" s="3" t="s">
        <v>78</v>
      </c>
      <c r="K104" s="20" t="s">
        <v>88</v>
      </c>
      <c r="L104" s="3" t="s">
        <v>14</v>
      </c>
      <c r="M104" s="3" t="s">
        <v>15</v>
      </c>
    </row>
    <row r="105" spans="1:13" ht="57">
      <c r="A105" s="3" t="s">
        <v>41</v>
      </c>
      <c r="B105" s="3" t="s">
        <v>42</v>
      </c>
      <c r="C105" s="3" t="s">
        <v>13</v>
      </c>
      <c r="D105" s="3" t="s">
        <v>66</v>
      </c>
      <c r="E105" s="3">
        <v>9.2200000000000006</v>
      </c>
      <c r="F105" s="3">
        <v>3.99</v>
      </c>
      <c r="G105" s="3">
        <v>0.2</v>
      </c>
      <c r="H105" s="3">
        <v>2326</v>
      </c>
      <c r="I105" s="3" t="s">
        <v>87</v>
      </c>
      <c r="J105" s="3" t="s">
        <v>78</v>
      </c>
      <c r="K105" s="20" t="s">
        <v>88</v>
      </c>
      <c r="L105" s="3" t="s">
        <v>14</v>
      </c>
      <c r="M105" s="3" t="s">
        <v>15</v>
      </c>
    </row>
    <row r="106" spans="1:13" ht="57">
      <c r="A106" s="3" t="s">
        <v>41</v>
      </c>
      <c r="B106" s="3" t="s">
        <v>42</v>
      </c>
      <c r="C106" s="3" t="s">
        <v>13</v>
      </c>
      <c r="D106" s="3" t="s">
        <v>67</v>
      </c>
      <c r="E106" s="3">
        <v>8.35</v>
      </c>
      <c r="F106" s="3">
        <v>4.24</v>
      </c>
      <c r="G106" s="3">
        <v>0.25</v>
      </c>
      <c r="H106" s="3">
        <v>2296</v>
      </c>
      <c r="I106" s="3" t="s">
        <v>87</v>
      </c>
      <c r="J106" s="3" t="s">
        <v>78</v>
      </c>
      <c r="K106" s="20" t="s">
        <v>88</v>
      </c>
      <c r="L106" s="3" t="s">
        <v>14</v>
      </c>
      <c r="M106" s="3" t="s">
        <v>15</v>
      </c>
    </row>
    <row r="107" spans="1:13" ht="57">
      <c r="A107" s="3" t="s">
        <v>41</v>
      </c>
      <c r="B107" s="3" t="s">
        <v>42</v>
      </c>
      <c r="C107" s="3" t="s">
        <v>13</v>
      </c>
      <c r="D107" s="3" t="s">
        <v>68</v>
      </c>
      <c r="E107" s="3">
        <v>8.18</v>
      </c>
      <c r="F107" s="3">
        <v>4.2699999999999996</v>
      </c>
      <c r="G107" s="3">
        <v>0.28000000000000003</v>
      </c>
      <c r="H107" s="3">
        <v>2146</v>
      </c>
      <c r="I107" s="3" t="s">
        <v>87</v>
      </c>
      <c r="J107" s="3" t="s">
        <v>78</v>
      </c>
      <c r="K107" s="20" t="s">
        <v>88</v>
      </c>
      <c r="L107" s="3" t="s">
        <v>14</v>
      </c>
      <c r="M107" s="3" t="s">
        <v>15</v>
      </c>
    </row>
    <row r="108" spans="1:13" ht="57">
      <c r="A108" s="3" t="s">
        <v>41</v>
      </c>
      <c r="B108" s="3" t="s">
        <v>42</v>
      </c>
      <c r="C108" s="3" t="s">
        <v>13</v>
      </c>
      <c r="D108" s="3" t="s">
        <v>69</v>
      </c>
      <c r="E108" s="3">
        <v>8.89</v>
      </c>
      <c r="F108" s="3">
        <v>4.2</v>
      </c>
      <c r="G108" s="3">
        <v>0.28000000000000003</v>
      </c>
      <c r="H108" s="3">
        <v>2208</v>
      </c>
      <c r="I108" s="3" t="s">
        <v>87</v>
      </c>
      <c r="J108" s="3" t="s">
        <v>78</v>
      </c>
      <c r="K108" s="20" t="s">
        <v>88</v>
      </c>
      <c r="L108" s="3" t="s">
        <v>14</v>
      </c>
      <c r="M108" s="3" t="s">
        <v>15</v>
      </c>
    </row>
    <row r="109" spans="1:13" ht="57">
      <c r="A109" s="3" t="s">
        <v>41</v>
      </c>
      <c r="B109" s="3" t="s">
        <v>42</v>
      </c>
      <c r="C109" s="3" t="s">
        <v>13</v>
      </c>
      <c r="D109" s="3" t="s">
        <v>70</v>
      </c>
      <c r="E109" s="3">
        <v>9.5299999999999994</v>
      </c>
      <c r="F109" s="3">
        <v>4.8099999999999996</v>
      </c>
      <c r="G109" s="3">
        <v>0.25</v>
      </c>
      <c r="H109" s="3">
        <v>2254</v>
      </c>
      <c r="I109" s="3" t="s">
        <v>87</v>
      </c>
      <c r="J109" s="3" t="s">
        <v>78</v>
      </c>
      <c r="K109" s="20" t="s">
        <v>88</v>
      </c>
      <c r="L109" s="3" t="s">
        <v>14</v>
      </c>
      <c r="M109" s="3" t="s">
        <v>15</v>
      </c>
    </row>
    <row r="110" spans="1:13" ht="57">
      <c r="A110" s="3" t="s">
        <v>43</v>
      </c>
      <c r="B110" s="3" t="s">
        <v>44</v>
      </c>
      <c r="C110" s="3" t="s">
        <v>45</v>
      </c>
      <c r="D110" s="3" t="s">
        <v>56</v>
      </c>
      <c r="E110" s="3">
        <v>9.48</v>
      </c>
      <c r="F110" s="3">
        <v>2.64</v>
      </c>
      <c r="G110" s="3">
        <v>0</v>
      </c>
      <c r="H110" s="3">
        <v>1927</v>
      </c>
      <c r="I110" s="3" t="s">
        <v>87</v>
      </c>
      <c r="J110" s="3" t="s">
        <v>78</v>
      </c>
      <c r="K110" s="20" t="s">
        <v>88</v>
      </c>
      <c r="L110" s="3" t="s">
        <v>45</v>
      </c>
      <c r="M110" s="3" t="s">
        <v>15</v>
      </c>
    </row>
    <row r="111" spans="1:13" ht="57">
      <c r="A111" s="3" t="s">
        <v>43</v>
      </c>
      <c r="B111" s="3" t="s">
        <v>44</v>
      </c>
      <c r="C111" s="3" t="s">
        <v>45</v>
      </c>
      <c r="D111" s="3" t="s">
        <v>60</v>
      </c>
      <c r="E111" s="3">
        <v>8.33</v>
      </c>
      <c r="F111" s="3">
        <v>2.16</v>
      </c>
      <c r="G111" s="3">
        <v>0</v>
      </c>
      <c r="H111" s="3">
        <v>1734</v>
      </c>
      <c r="I111" s="3" t="s">
        <v>87</v>
      </c>
      <c r="J111" s="3" t="s">
        <v>78</v>
      </c>
      <c r="K111" s="20" t="s">
        <v>88</v>
      </c>
      <c r="L111" s="3" t="s">
        <v>45</v>
      </c>
      <c r="M111" s="3" t="s">
        <v>15</v>
      </c>
    </row>
    <row r="112" spans="1:13" ht="57">
      <c r="A112" s="3" t="s">
        <v>43</v>
      </c>
      <c r="B112" s="3" t="s">
        <v>44</v>
      </c>
      <c r="C112" s="3" t="s">
        <v>45</v>
      </c>
      <c r="D112" s="3" t="s">
        <v>61</v>
      </c>
      <c r="E112" s="3">
        <v>8.91</v>
      </c>
      <c r="F112" s="3">
        <v>2.21</v>
      </c>
      <c r="G112" s="3">
        <v>0</v>
      </c>
      <c r="H112" s="3">
        <v>1930</v>
      </c>
      <c r="I112" s="3" t="s">
        <v>87</v>
      </c>
      <c r="J112" s="3" t="s">
        <v>78</v>
      </c>
      <c r="K112" s="20" t="s">
        <v>88</v>
      </c>
      <c r="L112" s="3" t="s">
        <v>45</v>
      </c>
      <c r="M112" s="3" t="s">
        <v>15</v>
      </c>
    </row>
    <row r="113" spans="1:13" ht="57">
      <c r="A113" s="3" t="s">
        <v>43</v>
      </c>
      <c r="B113" s="3" t="s">
        <v>44</v>
      </c>
      <c r="C113" s="3" t="s">
        <v>45</v>
      </c>
      <c r="D113" s="3" t="s">
        <v>62</v>
      </c>
      <c r="E113" s="3">
        <v>9.25</v>
      </c>
      <c r="F113" s="3">
        <v>2.2400000000000002</v>
      </c>
      <c r="G113" s="3">
        <v>0</v>
      </c>
      <c r="H113" s="3">
        <v>1933</v>
      </c>
      <c r="I113" s="3" t="s">
        <v>87</v>
      </c>
      <c r="J113" s="3" t="s">
        <v>78</v>
      </c>
      <c r="K113" s="20" t="s">
        <v>88</v>
      </c>
      <c r="L113" s="3" t="s">
        <v>45</v>
      </c>
      <c r="M113" s="3" t="s">
        <v>15</v>
      </c>
    </row>
    <row r="114" spans="1:13" ht="57">
      <c r="A114" s="3" t="s">
        <v>43</v>
      </c>
      <c r="B114" s="3" t="s">
        <v>44</v>
      </c>
      <c r="C114" s="3" t="s">
        <v>45</v>
      </c>
      <c r="D114" s="3" t="s">
        <v>63</v>
      </c>
      <c r="E114" s="3">
        <v>9.5</v>
      </c>
      <c r="F114" s="3">
        <v>2.41</v>
      </c>
      <c r="G114" s="3">
        <v>0</v>
      </c>
      <c r="H114" s="3">
        <v>2109</v>
      </c>
      <c r="I114" s="3" t="s">
        <v>87</v>
      </c>
      <c r="J114" s="3" t="s">
        <v>78</v>
      </c>
      <c r="K114" s="20" t="s">
        <v>88</v>
      </c>
      <c r="L114" s="3" t="s">
        <v>45</v>
      </c>
      <c r="M114" s="3" t="s">
        <v>15</v>
      </c>
    </row>
    <row r="115" spans="1:13" ht="57">
      <c r="A115" s="3" t="s">
        <v>43</v>
      </c>
      <c r="B115" s="3" t="s">
        <v>44</v>
      </c>
      <c r="C115" s="3" t="s">
        <v>45</v>
      </c>
      <c r="D115" s="3" t="s">
        <v>64</v>
      </c>
      <c r="E115" s="3">
        <v>9.86</v>
      </c>
      <c r="F115" s="3">
        <v>2.89</v>
      </c>
      <c r="G115" s="3">
        <v>0</v>
      </c>
      <c r="H115" s="3">
        <v>2180</v>
      </c>
      <c r="I115" s="3" t="s">
        <v>87</v>
      </c>
      <c r="J115" s="3" t="s">
        <v>78</v>
      </c>
      <c r="K115" s="20" t="s">
        <v>88</v>
      </c>
      <c r="L115" s="3" t="s">
        <v>45</v>
      </c>
      <c r="M115" s="3" t="s">
        <v>15</v>
      </c>
    </row>
    <row r="116" spans="1:13" ht="57">
      <c r="A116" s="3" t="s">
        <v>43</v>
      </c>
      <c r="B116" s="3" t="s">
        <v>44</v>
      </c>
      <c r="C116" s="3" t="s">
        <v>45</v>
      </c>
      <c r="D116" s="3" t="s">
        <v>65</v>
      </c>
      <c r="E116" s="3">
        <v>9.77</v>
      </c>
      <c r="F116" s="3">
        <v>2.3199999999999998</v>
      </c>
      <c r="G116" s="3">
        <v>0</v>
      </c>
      <c r="H116" s="3">
        <v>2085</v>
      </c>
      <c r="I116" s="3" t="s">
        <v>87</v>
      </c>
      <c r="J116" s="3" t="s">
        <v>78</v>
      </c>
      <c r="K116" s="20" t="s">
        <v>88</v>
      </c>
      <c r="L116" s="3" t="s">
        <v>45</v>
      </c>
      <c r="M116" s="3" t="s">
        <v>15</v>
      </c>
    </row>
    <row r="117" spans="1:13" ht="57">
      <c r="A117" s="3" t="s">
        <v>43</v>
      </c>
      <c r="B117" s="3" t="s">
        <v>44</v>
      </c>
      <c r="C117" s="3" t="s">
        <v>45</v>
      </c>
      <c r="D117" s="3" t="s">
        <v>66</v>
      </c>
      <c r="E117" s="3">
        <v>9.3699999999999992</v>
      </c>
      <c r="F117" s="3">
        <v>2.95</v>
      </c>
      <c r="G117" s="3">
        <v>0</v>
      </c>
      <c r="H117" s="3">
        <v>2115</v>
      </c>
      <c r="I117" s="3" t="s">
        <v>87</v>
      </c>
      <c r="J117" s="3" t="s">
        <v>78</v>
      </c>
      <c r="K117" s="20" t="s">
        <v>88</v>
      </c>
      <c r="L117" s="3" t="s">
        <v>45</v>
      </c>
      <c r="M117" s="3" t="s">
        <v>15</v>
      </c>
    </row>
    <row r="118" spans="1:13" ht="57">
      <c r="A118" s="3" t="s">
        <v>43</v>
      </c>
      <c r="B118" s="3" t="s">
        <v>44</v>
      </c>
      <c r="C118" s="3" t="s">
        <v>45</v>
      </c>
      <c r="D118" s="3" t="s">
        <v>67</v>
      </c>
      <c r="E118" s="3">
        <v>9.01</v>
      </c>
      <c r="F118" s="3">
        <v>2.57</v>
      </c>
      <c r="G118" s="3">
        <v>0</v>
      </c>
      <c r="H118" s="3">
        <v>1840</v>
      </c>
      <c r="I118" s="3" t="s">
        <v>87</v>
      </c>
      <c r="J118" s="3" t="s">
        <v>78</v>
      </c>
      <c r="K118" s="20" t="s">
        <v>88</v>
      </c>
      <c r="L118" s="3" t="s">
        <v>45</v>
      </c>
      <c r="M118" s="3" t="s">
        <v>15</v>
      </c>
    </row>
    <row r="119" spans="1:13" ht="57">
      <c r="A119" s="3" t="s">
        <v>43</v>
      </c>
      <c r="B119" s="3" t="s">
        <v>44</v>
      </c>
      <c r="C119" s="3" t="s">
        <v>45</v>
      </c>
      <c r="D119" s="3" t="s">
        <v>68</v>
      </c>
      <c r="E119" s="3">
        <v>9.07</v>
      </c>
      <c r="F119" s="3">
        <v>2.17</v>
      </c>
      <c r="G119" s="3">
        <v>0</v>
      </c>
      <c r="H119" s="3">
        <v>1944</v>
      </c>
      <c r="I119" s="3" t="s">
        <v>87</v>
      </c>
      <c r="J119" s="3" t="s">
        <v>78</v>
      </c>
      <c r="K119" s="20" t="s">
        <v>88</v>
      </c>
      <c r="L119" s="3" t="s">
        <v>45</v>
      </c>
      <c r="M119" s="3" t="s">
        <v>15</v>
      </c>
    </row>
    <row r="120" spans="1:13" ht="57">
      <c r="A120" s="3" t="s">
        <v>43</v>
      </c>
      <c r="B120" s="3" t="s">
        <v>44</v>
      </c>
      <c r="C120" s="3" t="s">
        <v>45</v>
      </c>
      <c r="D120" s="3" t="s">
        <v>69</v>
      </c>
      <c r="E120" s="3">
        <v>9.33</v>
      </c>
      <c r="F120" s="3">
        <v>2.34</v>
      </c>
      <c r="G120" s="3">
        <v>0</v>
      </c>
      <c r="H120" s="3">
        <v>1821</v>
      </c>
      <c r="I120" s="3" t="s">
        <v>87</v>
      </c>
      <c r="J120" s="3" t="s">
        <v>81</v>
      </c>
      <c r="K120" s="20" t="s">
        <v>88</v>
      </c>
      <c r="L120" s="3" t="s">
        <v>45</v>
      </c>
      <c r="M120" s="3" t="s">
        <v>15</v>
      </c>
    </row>
    <row r="121" spans="1:13" ht="57">
      <c r="A121" s="3" t="s">
        <v>43</v>
      </c>
      <c r="B121" s="3" t="s">
        <v>44</v>
      </c>
      <c r="C121" s="3" t="s">
        <v>45</v>
      </c>
      <c r="D121" s="3" t="s">
        <v>70</v>
      </c>
      <c r="E121" s="3">
        <v>10.32</v>
      </c>
      <c r="F121" s="3">
        <v>2.4700000000000002</v>
      </c>
      <c r="G121" s="3">
        <v>0</v>
      </c>
      <c r="H121" s="3">
        <v>2114</v>
      </c>
      <c r="I121" s="3" t="s">
        <v>87</v>
      </c>
      <c r="J121" s="3" t="s">
        <v>81</v>
      </c>
      <c r="K121" s="20" t="s">
        <v>88</v>
      </c>
      <c r="L121" s="3" t="s">
        <v>45</v>
      </c>
      <c r="M121" s="3" t="s">
        <v>15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1F213-1094-4B12-A3D2-257CDDF7A138}">
  <dimension ref="A1:AA11"/>
  <sheetViews>
    <sheetView topLeftCell="L1" workbookViewId="0">
      <selection activeCell="T24" sqref="T24"/>
    </sheetView>
  </sheetViews>
  <sheetFormatPr defaultRowHeight="14.25"/>
  <cols>
    <col min="1" max="1" width="13.5" style="24" customWidth="1"/>
    <col min="2" max="2" width="24.125" style="24" customWidth="1"/>
    <col min="3" max="3" width="16.875" style="24" customWidth="1"/>
    <col min="4" max="19" width="13.5" style="24" customWidth="1"/>
    <col min="20" max="20" width="36.625" style="24" customWidth="1"/>
    <col min="21" max="21" width="20.625" customWidth="1"/>
    <col min="22" max="22" width="18.625" customWidth="1"/>
    <col min="27" max="27" width="13.75" customWidth="1"/>
  </cols>
  <sheetData>
    <row r="1" spans="1:27" s="21" customFormat="1" ht="30">
      <c r="A1" s="23" t="s">
        <v>0</v>
      </c>
      <c r="B1" s="23" t="s">
        <v>1</v>
      </c>
      <c r="C1" s="23" t="s">
        <v>7</v>
      </c>
      <c r="D1" s="23" t="s">
        <v>8</v>
      </c>
      <c r="E1" s="23" t="s">
        <v>1088</v>
      </c>
      <c r="F1" s="23" t="s">
        <v>1089</v>
      </c>
      <c r="G1" s="23" t="s">
        <v>1090</v>
      </c>
      <c r="H1" s="23" t="s">
        <v>1091</v>
      </c>
      <c r="I1" s="23" t="s">
        <v>1092</v>
      </c>
      <c r="J1" s="23" t="s">
        <v>1093</v>
      </c>
      <c r="K1" s="23" t="s">
        <v>1094</v>
      </c>
      <c r="L1" s="23" t="s">
        <v>1095</v>
      </c>
      <c r="M1" s="23" t="s">
        <v>1096</v>
      </c>
      <c r="N1" s="23" t="s">
        <v>1097</v>
      </c>
      <c r="O1" s="23" t="s">
        <v>1098</v>
      </c>
      <c r="P1" s="23" t="s">
        <v>1099</v>
      </c>
      <c r="Q1" s="23" t="s">
        <v>1100</v>
      </c>
      <c r="R1" s="23" t="s">
        <v>1101</v>
      </c>
      <c r="S1" s="23" t="s">
        <v>1102</v>
      </c>
      <c r="T1" s="23" t="s">
        <v>1103</v>
      </c>
      <c r="U1" s="21" t="s">
        <v>1104</v>
      </c>
      <c r="V1" s="32" t="s">
        <v>1105</v>
      </c>
    </row>
    <row r="2" spans="1:27" ht="28.5">
      <c r="A2" s="10" t="s">
        <v>11</v>
      </c>
      <c r="B2" s="24" t="str">
        <f>_xlfn.XLOOKUP(A2,'01_input_asset_master'!A$2:A$11,'01_input_asset_master'!B$2:B$11)</f>
        <v>Riverbend Apartments</v>
      </c>
      <c r="C2" s="24">
        <f>_xlfn.XLOOKUP(A2,'01_input_asset_master'!A$2:A$11,'01_input_asset_master'!H$2:H$11)</f>
        <v>165000</v>
      </c>
      <c r="D2" s="24">
        <f>_xlfn.XLOOKUP(A2,'01_input_asset_master'!A$2:A$11,'01_input_asset_master'!I$2:I$11)</f>
        <v>180</v>
      </c>
      <c r="E2" s="24">
        <f>SUMIFS(INDEX('04_input_waste_monthly'!$A:$Z,0,MATCH("landfill_tons",'04_input_waste_monthly'!$1:$1,0)),'04_input_waste_monthly'!$A:$A,A2)</f>
        <v>114.64000000000001</v>
      </c>
      <c r="F2" s="24">
        <f>SUMIFS(INDEX('04_input_waste_monthly'!$A:$Z,0,MATCH("recycling_tons",'04_input_waste_monthly'!$1:$1,0)),'04_input_waste_monthly'!$A:$A,A2)</f>
        <v>30.04</v>
      </c>
      <c r="G2" s="24">
        <f>SUMIFS(INDEX('04_input_waste_monthly'!$A:$Z,0,MATCH("compost_tons",'04_input_waste_monthly'!$1:$1,0)),'04_input_waste_monthly'!$A:$A,A2)</f>
        <v>2.73</v>
      </c>
      <c r="H2" s="24">
        <f>E2+F2+G2</f>
        <v>147.41</v>
      </c>
      <c r="I2" s="24">
        <f>SUMIFS(INDEX('04_input_waste_monthly'!$A:$Z,0,MATCH("waste_cost_usd",'04_input_waste_monthly'!$1:$1,0)),'04_input_waste_monthly'!$A:$A,A2)</f>
        <v>24295</v>
      </c>
      <c r="J2" s="24">
        <f>F2+G2</f>
        <v>32.769999999999996</v>
      </c>
      <c r="K2" s="28">
        <f>IF(H2=0,0,J2/H2)</f>
        <v>0.22230513533681567</v>
      </c>
      <c r="L2" s="29">
        <f>H2/D2</f>
        <v>0.81894444444444447</v>
      </c>
      <c r="M2" s="30">
        <f>H2/(C2/1000)</f>
        <v>0.89339393939393941</v>
      </c>
      <c r="N2" s="30">
        <f>I2/D2</f>
        <v>134.97222222222223</v>
      </c>
      <c r="O2" s="29">
        <f>I2/C2</f>
        <v>0.14724242424242423</v>
      </c>
      <c r="P2" s="24">
        <f>COUNTIFS('04_input_waste_monthly'!$A:$A,A2,INDEX('04_input_waste_monthly'!$A:$Z,0,MATCH("landfill_tons",'04_input_waste_monthly'!$1:$1,0)),"&gt;0")</f>
        <v>12</v>
      </c>
      <c r="Q2" s="27">
        <f>P2/12</f>
        <v>1</v>
      </c>
      <c r="R2" s="24" t="str">
        <f>IF(L2&gt;0.8,"High Waste",IF(L2&gt;0.5,"Moderate","Low"))</f>
        <v>High Waste</v>
      </c>
      <c r="S2" s="24" t="str">
        <f>IF(K2&gt;=0.5,"Strong Diversion",IF(K2&gt;=0.3,"Moderate Diversion","Weak Diversion"))</f>
        <v>Weak Diversion</v>
      </c>
      <c r="T2" s="19" t="str">
        <f>IF(AND(R2="High Waste",S2="Weak Diversion"),"Waste audit + recycling access + tenant education + vendor review",IF(S2="Weak Diversion","Improve recycling access + tenant education + vendor review",IF(R2="High Waste","Waste audit + contamination review + right-size bins","Maintain program + monitor diversion")))</f>
        <v>Waste audit + recycling access + tenant education + vendor review</v>
      </c>
      <c r="U2">
        <f>_xlfn.RANK.EQ(L2,$L$2:$L$11,0)</f>
        <v>6</v>
      </c>
      <c r="V2">
        <f>_xlfn.RANK.EQ(K2,$K$2:$K$11,1)</f>
        <v>5</v>
      </c>
    </row>
    <row r="3" spans="1:27" ht="28.5">
      <c r="A3" s="11" t="s">
        <v>17</v>
      </c>
      <c r="B3" s="24" t="str">
        <f>_xlfn.XLOOKUP(A3,'01_input_asset_master'!A$2:A$11,'01_input_asset_master'!B$2:B$11)</f>
        <v>Lakeview Terrace</v>
      </c>
      <c r="C3" s="24">
        <f>_xlfn.XLOOKUP(A3,'01_input_asset_master'!A$2:A$11,'01_input_asset_master'!H$2:H$11)</f>
        <v>220000</v>
      </c>
      <c r="D3" s="24">
        <f>_xlfn.XLOOKUP(A3,'01_input_asset_master'!A$2:A$11,'01_input_asset_master'!I$2:I$11)</f>
        <v>240</v>
      </c>
      <c r="E3" s="24">
        <f>SUMIFS(INDEX('04_input_waste_monthly'!$A:$Z,0,MATCH("landfill_tons",'04_input_waste_monthly'!$1:$1,0)),'04_input_waste_monthly'!$A:$A,A3)</f>
        <v>163.27000000000001</v>
      </c>
      <c r="F3" s="24">
        <f>SUMIFS(INDEX('04_input_waste_monthly'!$A:$Z,0,MATCH("recycling_tons",'04_input_waste_monthly'!$1:$1,0)),'04_input_waste_monthly'!$A:$A,A3)</f>
        <v>30.64</v>
      </c>
      <c r="G3" s="24">
        <f>SUMIFS(INDEX('04_input_waste_monthly'!$A:$Z,0,MATCH("compost_tons",'04_input_waste_monthly'!$1:$1,0)),'04_input_waste_monthly'!$A:$A,A3)</f>
        <v>6.0400000000000009</v>
      </c>
      <c r="H3" s="24">
        <f t="shared" ref="H3:H11" si="0">E3+F3+G3</f>
        <v>199.95000000000002</v>
      </c>
      <c r="I3" s="24">
        <f>SUMIFS(INDEX('04_input_waste_monthly'!$A:$Z,0,MATCH("waste_cost_usd",'04_input_waste_monthly'!$1:$1,0)),'04_input_waste_monthly'!$A:$A,A3)</f>
        <v>32107</v>
      </c>
      <c r="J3" s="24">
        <f t="shared" ref="J3:J11" si="1">F3+G3</f>
        <v>36.68</v>
      </c>
      <c r="K3" s="28">
        <f t="shared" ref="K3:K11" si="2">IF(H3=0,0,J3/H3)</f>
        <v>0.18344586146536632</v>
      </c>
      <c r="L3" s="29">
        <f t="shared" ref="L3:L11" si="3">H3/D3</f>
        <v>0.83312500000000012</v>
      </c>
      <c r="M3" s="30">
        <f t="shared" ref="M3:M11" si="4">H3/(C3/1000)</f>
        <v>0.90886363636363643</v>
      </c>
      <c r="N3" s="30">
        <f t="shared" ref="N3:N11" si="5">I3/D3</f>
        <v>133.77916666666667</v>
      </c>
      <c r="O3" s="29">
        <f t="shared" ref="O3:O11" si="6">I3/C3</f>
        <v>0.14594090909090909</v>
      </c>
      <c r="P3" s="24">
        <f>COUNTIFS('04_input_waste_monthly'!$A:$A,A3,INDEX('04_input_waste_monthly'!$A:$Z,0,MATCH("landfill_tons",'04_input_waste_monthly'!$1:$1,0)),"&gt;0")</f>
        <v>12</v>
      </c>
      <c r="Q3" s="27">
        <f t="shared" ref="Q3:Q11" si="7">P3/12</f>
        <v>1</v>
      </c>
      <c r="R3" s="24" t="str">
        <f t="shared" ref="R3:R11" si="8">IF(L3&gt;0.8,"High Waste",IF(L3&gt;0.5,"Moderate","Low"))</f>
        <v>High Waste</v>
      </c>
      <c r="S3" s="24" t="str">
        <f t="shared" ref="S3:S11" si="9">IF(K3&gt;=0.5,"Strong Diversion",IF(K3&gt;=0.3,"Moderate Diversion","Weak Diversion"))</f>
        <v>Weak Diversion</v>
      </c>
      <c r="T3" s="19" t="str">
        <f t="shared" ref="T3:T11" si="10">IF(AND(R3="High Waste",S3="Weak Diversion"),"Waste audit + recycling access + tenant education + vendor review",IF(S3="Weak Diversion","Improve recycling access + tenant education + vendor review",IF(R3="High Waste","Waste audit + contamination review + right-size bins","Maintain program + monitor diversion")))</f>
        <v>Waste audit + recycling access + tenant education + vendor review</v>
      </c>
      <c r="U3">
        <f t="shared" ref="U3:U11" si="11">_xlfn.RANK.EQ(L3,$L$2:$L$11,0)</f>
        <v>3</v>
      </c>
      <c r="V3">
        <f t="shared" ref="V3:V11" si="12">_xlfn.RANK.EQ(K3,$K$2:$K$11,1)</f>
        <v>1</v>
      </c>
    </row>
    <row r="4" spans="1:27" ht="28.5">
      <c r="A4" s="10" t="s">
        <v>20</v>
      </c>
      <c r="B4" s="24" t="str">
        <f>_xlfn.XLOOKUP(A4,'01_input_asset_master'!A$2:A$11,'01_input_asset_master'!B$2:B$11)</f>
        <v>Northside Commons</v>
      </c>
      <c r="C4" s="24">
        <f>_xlfn.XLOOKUP(A4,'01_input_asset_master'!A$2:A$11,'01_input_asset_master'!H$2:H$11)</f>
        <v>145000</v>
      </c>
      <c r="D4" s="24">
        <f>_xlfn.XLOOKUP(A4,'01_input_asset_master'!A$2:A$11,'01_input_asset_master'!I$2:I$11)</f>
        <v>160</v>
      </c>
      <c r="E4" s="24">
        <f>SUMIFS(INDEX('04_input_waste_monthly'!$A:$Z,0,MATCH("landfill_tons",'04_input_waste_monthly'!$1:$1,0)),'04_input_waste_monthly'!$A:$A,A4)</f>
        <v>95.26</v>
      </c>
      <c r="F4" s="24">
        <f>SUMIFS(INDEX('04_input_waste_monthly'!$A:$Z,0,MATCH("recycling_tons",'04_input_waste_monthly'!$1:$1,0)),'04_input_waste_monthly'!$A:$A,A4)</f>
        <v>35.340000000000003</v>
      </c>
      <c r="G4" s="24">
        <f>SUMIFS(INDEX('04_input_waste_monthly'!$A:$Z,0,MATCH("compost_tons",'04_input_waste_monthly'!$1:$1,0)),'04_input_waste_monthly'!$A:$A,A4)</f>
        <v>0</v>
      </c>
      <c r="H4" s="24">
        <f t="shared" si="0"/>
        <v>130.60000000000002</v>
      </c>
      <c r="I4" s="24">
        <f>SUMIFS(INDEX('04_input_waste_monthly'!$A:$Z,0,MATCH("waste_cost_usd",'04_input_waste_monthly'!$1:$1,0)),'04_input_waste_monthly'!$A:$A,A4)</f>
        <v>21834</v>
      </c>
      <c r="J4" s="24">
        <f t="shared" si="1"/>
        <v>35.340000000000003</v>
      </c>
      <c r="K4" s="28">
        <f t="shared" si="2"/>
        <v>0.27059724349157732</v>
      </c>
      <c r="L4" s="29">
        <f t="shared" si="3"/>
        <v>0.81625000000000014</v>
      </c>
      <c r="M4" s="30">
        <f t="shared" si="4"/>
        <v>0.90068965517241395</v>
      </c>
      <c r="N4" s="30">
        <f t="shared" si="5"/>
        <v>136.46250000000001</v>
      </c>
      <c r="O4" s="29">
        <f t="shared" si="6"/>
        <v>0.15057931034482758</v>
      </c>
      <c r="P4" s="24">
        <f>COUNTIFS('04_input_waste_monthly'!$A:$A,A4,INDEX('04_input_waste_monthly'!$A:$Z,0,MATCH("landfill_tons",'04_input_waste_monthly'!$1:$1,0)),"&gt;0")</f>
        <v>12</v>
      </c>
      <c r="Q4" s="27">
        <f t="shared" si="7"/>
        <v>1</v>
      </c>
      <c r="R4" s="24" t="str">
        <f t="shared" si="8"/>
        <v>High Waste</v>
      </c>
      <c r="S4" s="24" t="str">
        <f t="shared" si="9"/>
        <v>Weak Diversion</v>
      </c>
      <c r="T4" s="19" t="str">
        <f t="shared" si="10"/>
        <v>Waste audit + recycling access + tenant education + vendor review</v>
      </c>
      <c r="U4">
        <f t="shared" si="11"/>
        <v>7</v>
      </c>
      <c r="V4">
        <f t="shared" si="12"/>
        <v>8</v>
      </c>
      <c r="X4" s="51" t="s">
        <v>1106</v>
      </c>
      <c r="Y4" s="51"/>
      <c r="Z4" s="51"/>
      <c r="AA4" s="51"/>
    </row>
    <row r="5" spans="1:27" ht="28.5">
      <c r="A5" s="11" t="s">
        <v>24</v>
      </c>
      <c r="B5" s="24" t="str">
        <f>_xlfn.XLOOKUP(A5,'01_input_asset_master'!A$2:A$11,'01_input_asset_master'!B$2:B$11)</f>
        <v>Badger Ridge Homes</v>
      </c>
      <c r="C5" s="24">
        <f>_xlfn.XLOOKUP(A5,'01_input_asset_master'!A$2:A$11,'01_input_asset_master'!H$2:H$11)</f>
        <v>120000</v>
      </c>
      <c r="D5" s="24">
        <f>_xlfn.XLOOKUP(A5,'01_input_asset_master'!A$2:A$11,'01_input_asset_master'!I$2:I$11)</f>
        <v>130</v>
      </c>
      <c r="E5" s="24">
        <f>SUMIFS(INDEX('04_input_waste_monthly'!$A:$Z,0,MATCH("landfill_tons",'04_input_waste_monthly'!$1:$1,0)),'04_input_waste_monthly'!$A:$A,A5)</f>
        <v>85.289999999999992</v>
      </c>
      <c r="F5" s="24">
        <f>SUMIFS(INDEX('04_input_waste_monthly'!$A:$Z,0,MATCH("recycling_tons",'04_input_waste_monthly'!$1:$1,0)),'04_input_waste_monthly'!$A:$A,A5)</f>
        <v>23.909999999999997</v>
      </c>
      <c r="G5" s="24">
        <f>SUMIFS(INDEX('04_input_waste_monthly'!$A:$Z,0,MATCH("compost_tons",'04_input_waste_monthly'!$1:$1,0)),'04_input_waste_monthly'!$A:$A,A5)</f>
        <v>0</v>
      </c>
      <c r="H5" s="24">
        <f t="shared" si="0"/>
        <v>109.19999999999999</v>
      </c>
      <c r="I5" s="24">
        <f>SUMIFS(INDEX('04_input_waste_monthly'!$A:$Z,0,MATCH("waste_cost_usd",'04_input_waste_monthly'!$1:$1,0)),'04_input_waste_monthly'!$A:$A,A5)</f>
        <v>18459</v>
      </c>
      <c r="J5" s="24">
        <f t="shared" si="1"/>
        <v>23.909999999999997</v>
      </c>
      <c r="K5" s="28">
        <f t="shared" si="2"/>
        <v>0.21895604395604396</v>
      </c>
      <c r="L5" s="29">
        <f t="shared" si="3"/>
        <v>0.83999999999999986</v>
      </c>
      <c r="M5" s="30">
        <f t="shared" si="4"/>
        <v>0.90999999999999992</v>
      </c>
      <c r="N5" s="30">
        <f t="shared" si="5"/>
        <v>141.99230769230769</v>
      </c>
      <c r="O5" s="29">
        <f t="shared" si="6"/>
        <v>0.15382499999999999</v>
      </c>
      <c r="P5" s="24">
        <f>COUNTIFS('04_input_waste_monthly'!$A:$A,A5,INDEX('04_input_waste_monthly'!$A:$Z,0,MATCH("landfill_tons",'04_input_waste_monthly'!$1:$1,0)),"&gt;0")</f>
        <v>12</v>
      </c>
      <c r="Q5" s="27">
        <f t="shared" si="7"/>
        <v>1</v>
      </c>
      <c r="R5" s="24" t="str">
        <f t="shared" si="8"/>
        <v>High Waste</v>
      </c>
      <c r="S5" s="24" t="str">
        <f t="shared" si="9"/>
        <v>Weak Diversion</v>
      </c>
      <c r="T5" s="19" t="str">
        <f t="shared" si="10"/>
        <v>Waste audit + recycling access + tenant education + vendor review</v>
      </c>
      <c r="U5">
        <f t="shared" si="11"/>
        <v>2</v>
      </c>
      <c r="V5">
        <f t="shared" si="12"/>
        <v>4</v>
      </c>
      <c r="X5" s="51"/>
      <c r="Y5" s="51"/>
      <c r="Z5" s="51"/>
      <c r="AA5" s="51"/>
    </row>
    <row r="6" spans="1:27" ht="28.5">
      <c r="A6" s="10" t="s">
        <v>28</v>
      </c>
      <c r="B6" s="24" t="str">
        <f>_xlfn.XLOOKUP(A6,'01_input_asset_master'!A$2:A$11,'01_input_asset_master'!B$2:B$11)</f>
        <v>Oak Street Lofts</v>
      </c>
      <c r="C6" s="24">
        <f>_xlfn.XLOOKUP(A6,'01_input_asset_master'!A$2:A$11,'01_input_asset_master'!H$2:H$11)</f>
        <v>98000</v>
      </c>
      <c r="D6" s="24">
        <f>_xlfn.XLOOKUP(A6,'01_input_asset_master'!A$2:A$11,'01_input_asset_master'!I$2:I$11)</f>
        <v>105</v>
      </c>
      <c r="E6" s="24">
        <f>SUMIFS(INDEX('04_input_waste_monthly'!$A:$Z,0,MATCH("landfill_tons",'04_input_waste_monthly'!$1:$1,0)),'04_input_waste_monthly'!$A:$A,A6)</f>
        <v>62.720000000000013</v>
      </c>
      <c r="F6" s="24">
        <f>SUMIFS(INDEX('04_input_waste_monthly'!$A:$Z,0,MATCH("recycling_tons",'04_input_waste_monthly'!$1:$1,0)),'04_input_waste_monthly'!$A:$A,A6)</f>
        <v>22.150000000000002</v>
      </c>
      <c r="G6" s="24">
        <f>SUMIFS(INDEX('04_input_waste_monthly'!$A:$Z,0,MATCH("compost_tons",'04_input_waste_monthly'!$1:$1,0)),'04_input_waste_monthly'!$A:$A,A6)</f>
        <v>2.0099999999999998</v>
      </c>
      <c r="H6" s="24">
        <f t="shared" si="0"/>
        <v>86.880000000000024</v>
      </c>
      <c r="I6" s="24">
        <f>SUMIFS(INDEX('04_input_waste_monthly'!$A:$Z,0,MATCH("waste_cost_usd",'04_input_waste_monthly'!$1:$1,0)),'04_input_waste_monthly'!$A:$A,A6)</f>
        <v>14911</v>
      </c>
      <c r="J6" s="24">
        <f t="shared" si="1"/>
        <v>24.160000000000004</v>
      </c>
      <c r="K6" s="28">
        <f t="shared" si="2"/>
        <v>0.2780847145488029</v>
      </c>
      <c r="L6" s="29">
        <f t="shared" si="3"/>
        <v>0.82742857142857162</v>
      </c>
      <c r="M6" s="30">
        <f t="shared" si="4"/>
        <v>0.88653061224489815</v>
      </c>
      <c r="N6" s="30">
        <f t="shared" si="5"/>
        <v>142.00952380952381</v>
      </c>
      <c r="O6" s="29">
        <f t="shared" si="6"/>
        <v>0.15215306122448979</v>
      </c>
      <c r="P6" s="24">
        <f>COUNTIFS('04_input_waste_monthly'!$A:$A,A6,INDEX('04_input_waste_monthly'!$A:$Z,0,MATCH("landfill_tons",'04_input_waste_monthly'!$1:$1,0)),"&gt;0")</f>
        <v>12</v>
      </c>
      <c r="Q6" s="27">
        <f t="shared" si="7"/>
        <v>1</v>
      </c>
      <c r="R6" s="24" t="str">
        <f t="shared" si="8"/>
        <v>High Waste</v>
      </c>
      <c r="S6" s="24" t="str">
        <f t="shared" si="9"/>
        <v>Weak Diversion</v>
      </c>
      <c r="T6" s="19" t="str">
        <f t="shared" si="10"/>
        <v>Waste audit + recycling access + tenant education + vendor review</v>
      </c>
      <c r="U6">
        <f t="shared" si="11"/>
        <v>5</v>
      </c>
      <c r="V6">
        <f t="shared" si="12"/>
        <v>9</v>
      </c>
      <c r="X6" s="51"/>
      <c r="Y6" s="51"/>
      <c r="Z6" s="51"/>
      <c r="AA6" s="51"/>
    </row>
    <row r="7" spans="1:27" ht="28.5">
      <c r="A7" s="11" t="s">
        <v>31</v>
      </c>
      <c r="B7" s="24" t="str">
        <f>_xlfn.XLOOKUP(A7,'01_input_asset_master'!A$2:A$11,'01_input_asset_master'!B$2:B$11)</f>
        <v>South Park Apartments</v>
      </c>
      <c r="C7" s="24">
        <f>_xlfn.XLOOKUP(A7,'01_input_asset_master'!A$2:A$11,'01_input_asset_master'!H$2:H$11)</f>
        <v>185000</v>
      </c>
      <c r="D7" s="24">
        <f>_xlfn.XLOOKUP(A7,'01_input_asset_master'!A$2:A$11,'01_input_asset_master'!I$2:I$11)</f>
        <v>210</v>
      </c>
      <c r="E7" s="24">
        <f>SUMIFS(INDEX('04_input_waste_monthly'!$A:$Z,0,MATCH("landfill_tons",'04_input_waste_monthly'!$1:$1,0)),'04_input_waste_monthly'!$A:$A,A7)</f>
        <v>141.35999999999999</v>
      </c>
      <c r="F7" s="24">
        <f>SUMIFS(INDEX('04_input_waste_monthly'!$A:$Z,0,MATCH("recycling_tons",'04_input_waste_monthly'!$1:$1,0)),'04_input_waste_monthly'!$A:$A,A7)</f>
        <v>37.729999999999997</v>
      </c>
      <c r="G7" s="24">
        <f>SUMIFS(INDEX('04_input_waste_monthly'!$A:$Z,0,MATCH("compost_tons",'04_input_waste_monthly'!$1:$1,0)),'04_input_waste_monthly'!$A:$A,A7)</f>
        <v>0</v>
      </c>
      <c r="H7" s="24">
        <f t="shared" si="0"/>
        <v>179.08999999999997</v>
      </c>
      <c r="I7" s="24">
        <f>SUMIFS(INDEX('04_input_waste_monthly'!$A:$Z,0,MATCH("waste_cost_usd",'04_input_waste_monthly'!$1:$1,0)),'04_input_waste_monthly'!$A:$A,A7)</f>
        <v>28952</v>
      </c>
      <c r="J7" s="24">
        <f t="shared" si="1"/>
        <v>37.729999999999997</v>
      </c>
      <c r="K7" s="28">
        <f t="shared" si="2"/>
        <v>0.21067619632586967</v>
      </c>
      <c r="L7" s="29">
        <f t="shared" si="3"/>
        <v>0.85280952380952368</v>
      </c>
      <c r="M7" s="30">
        <f t="shared" si="4"/>
        <v>0.96805405405405387</v>
      </c>
      <c r="N7" s="30">
        <f t="shared" si="5"/>
        <v>137.86666666666667</v>
      </c>
      <c r="O7" s="29">
        <f t="shared" si="6"/>
        <v>0.15649729729729731</v>
      </c>
      <c r="P7" s="24">
        <f>COUNTIFS('04_input_waste_monthly'!$A:$A,A7,INDEX('04_input_waste_monthly'!$A:$Z,0,MATCH("landfill_tons",'04_input_waste_monthly'!$1:$1,0)),"&gt;0")</f>
        <v>12</v>
      </c>
      <c r="Q7" s="27">
        <f t="shared" si="7"/>
        <v>1</v>
      </c>
      <c r="R7" s="24" t="str">
        <f t="shared" si="8"/>
        <v>High Waste</v>
      </c>
      <c r="S7" s="24" t="str">
        <f t="shared" si="9"/>
        <v>Weak Diversion</v>
      </c>
      <c r="T7" s="19" t="str">
        <f t="shared" si="10"/>
        <v>Waste audit + recycling access + tenant education + vendor review</v>
      </c>
      <c r="U7">
        <f t="shared" si="11"/>
        <v>1</v>
      </c>
      <c r="V7">
        <f t="shared" si="12"/>
        <v>3</v>
      </c>
      <c r="X7" s="51"/>
      <c r="Y7" s="51"/>
      <c r="Z7" s="51"/>
      <c r="AA7" s="51"/>
    </row>
    <row r="8" spans="1:27" ht="28.5">
      <c r="A8" s="10" t="s">
        <v>34</v>
      </c>
      <c r="B8" s="24" t="str">
        <f>_xlfn.XLOOKUP(A8,'01_input_asset_master'!A$2:A$11,'01_input_asset_master'!B$2:B$11)</f>
        <v>Fox River Flats</v>
      </c>
      <c r="C8" s="24">
        <f>_xlfn.XLOOKUP(A8,'01_input_asset_master'!A$2:A$11,'01_input_asset_master'!H$2:H$11)</f>
        <v>135000</v>
      </c>
      <c r="D8" s="24">
        <f>_xlfn.XLOOKUP(A8,'01_input_asset_master'!A$2:A$11,'01_input_asset_master'!I$2:I$11)</f>
        <v>150</v>
      </c>
      <c r="E8" s="24">
        <f>SUMIFS(INDEX('04_input_waste_monthly'!$A:$Z,0,MATCH("landfill_tons",'04_input_waste_monthly'!$1:$1,0)),'04_input_waste_monthly'!$A:$A,A8)</f>
        <v>87.669999999999987</v>
      </c>
      <c r="F8" s="24">
        <f>SUMIFS(INDEX('04_input_waste_monthly'!$A:$Z,0,MATCH("recycling_tons",'04_input_waste_monthly'!$1:$1,0)),'04_input_waste_monthly'!$A:$A,A8)</f>
        <v>31.75</v>
      </c>
      <c r="G8" s="24">
        <f>SUMIFS(INDEX('04_input_waste_monthly'!$A:$Z,0,MATCH("compost_tons",'04_input_waste_monthly'!$1:$1,0)),'04_input_waste_monthly'!$A:$A,A8)</f>
        <v>0</v>
      </c>
      <c r="H8" s="24">
        <f t="shared" si="0"/>
        <v>119.41999999999999</v>
      </c>
      <c r="I8" s="24">
        <f>SUMIFS(INDEX('04_input_waste_monthly'!$A:$Z,0,MATCH("waste_cost_usd",'04_input_waste_monthly'!$1:$1,0)),'04_input_waste_monthly'!$A:$A,A8)</f>
        <v>20402</v>
      </c>
      <c r="J8" s="24">
        <f t="shared" si="1"/>
        <v>31.75</v>
      </c>
      <c r="K8" s="28">
        <f t="shared" si="2"/>
        <v>0.26586836375816447</v>
      </c>
      <c r="L8" s="29">
        <f t="shared" si="3"/>
        <v>0.79613333333333325</v>
      </c>
      <c r="M8" s="30">
        <f t="shared" si="4"/>
        <v>0.88459259259259249</v>
      </c>
      <c r="N8" s="30">
        <f t="shared" si="5"/>
        <v>136.01333333333332</v>
      </c>
      <c r="O8" s="29">
        <f t="shared" si="6"/>
        <v>0.15112592592592591</v>
      </c>
      <c r="P8" s="24">
        <f>COUNTIFS('04_input_waste_monthly'!$A:$A,A8,INDEX('04_input_waste_monthly'!$A:$Z,0,MATCH("landfill_tons",'04_input_waste_monthly'!$1:$1,0)),"&gt;0")</f>
        <v>12</v>
      </c>
      <c r="Q8" s="27">
        <f t="shared" si="7"/>
        <v>1</v>
      </c>
      <c r="R8" s="24" t="str">
        <f t="shared" si="8"/>
        <v>Moderate</v>
      </c>
      <c r="S8" s="24" t="str">
        <f t="shared" si="9"/>
        <v>Weak Diversion</v>
      </c>
      <c r="T8" s="19" t="str">
        <f t="shared" si="10"/>
        <v>Improve recycling access + tenant education + vendor review</v>
      </c>
      <c r="U8">
        <f t="shared" si="11"/>
        <v>9</v>
      </c>
      <c r="V8">
        <f t="shared" si="12"/>
        <v>6</v>
      </c>
      <c r="X8" s="51"/>
      <c r="Y8" s="51"/>
      <c r="Z8" s="51"/>
      <c r="AA8" s="51"/>
    </row>
    <row r="9" spans="1:27" ht="28.5">
      <c r="A9" s="11" t="s">
        <v>38</v>
      </c>
      <c r="B9" s="24" t="str">
        <f>_xlfn.XLOOKUP(A9,'01_input_asset_master'!A$2:A$11,'01_input_asset_master'!B$2:B$11)</f>
        <v>Prairie View Residences</v>
      </c>
      <c r="C9" s="24">
        <f>_xlfn.XLOOKUP(A9,'01_input_asset_master'!A$2:A$11,'01_input_asset_master'!H$2:H$11)</f>
        <v>110000</v>
      </c>
      <c r="D9" s="24">
        <f>_xlfn.XLOOKUP(A9,'01_input_asset_master'!A$2:A$11,'01_input_asset_master'!I$2:I$11)</f>
        <v>120</v>
      </c>
      <c r="E9" s="24">
        <f>SUMIFS(INDEX('04_input_waste_monthly'!$A:$Z,0,MATCH("landfill_tons",'04_input_waste_monthly'!$1:$1,0)),'04_input_waste_monthly'!$A:$A,A9)</f>
        <v>67.62</v>
      </c>
      <c r="F9" s="24">
        <f>SUMIFS(INDEX('04_input_waste_monthly'!$A:$Z,0,MATCH("recycling_tons",'04_input_waste_monthly'!$1:$1,0)),'04_input_waste_monthly'!$A:$A,A9)</f>
        <v>24.900000000000002</v>
      </c>
      <c r="G9" s="24">
        <f>SUMIFS(INDEX('04_input_waste_monthly'!$A:$Z,0,MATCH("compost_tons",'04_input_waste_monthly'!$1:$1,0)),'04_input_waste_monthly'!$A:$A,A9)</f>
        <v>0</v>
      </c>
      <c r="H9" s="24">
        <f t="shared" si="0"/>
        <v>92.52000000000001</v>
      </c>
      <c r="I9" s="24">
        <f>SUMIFS(INDEX('04_input_waste_monthly'!$A:$Z,0,MATCH("waste_cost_usd",'04_input_waste_monthly'!$1:$1,0)),'04_input_waste_monthly'!$A:$A,A9)</f>
        <v>15752</v>
      </c>
      <c r="J9" s="24">
        <f t="shared" si="1"/>
        <v>24.900000000000002</v>
      </c>
      <c r="K9" s="28">
        <f t="shared" si="2"/>
        <v>0.26913099870298313</v>
      </c>
      <c r="L9" s="29">
        <f t="shared" si="3"/>
        <v>0.77100000000000013</v>
      </c>
      <c r="M9" s="30">
        <f t="shared" si="4"/>
        <v>0.84109090909090922</v>
      </c>
      <c r="N9" s="30">
        <f t="shared" si="5"/>
        <v>131.26666666666668</v>
      </c>
      <c r="O9" s="29">
        <f t="shared" si="6"/>
        <v>0.14319999999999999</v>
      </c>
      <c r="P9" s="24">
        <f>COUNTIFS('04_input_waste_monthly'!$A:$A,A9,INDEX('04_input_waste_monthly'!$A:$Z,0,MATCH("landfill_tons",'04_input_waste_monthly'!$1:$1,0)),"&gt;0")</f>
        <v>12</v>
      </c>
      <c r="Q9" s="27">
        <f t="shared" si="7"/>
        <v>1</v>
      </c>
      <c r="R9" s="24" t="str">
        <f t="shared" si="8"/>
        <v>Moderate</v>
      </c>
      <c r="S9" s="24" t="str">
        <f t="shared" si="9"/>
        <v>Weak Diversion</v>
      </c>
      <c r="T9" s="19" t="str">
        <f t="shared" si="10"/>
        <v>Improve recycling access + tenant education + vendor review</v>
      </c>
      <c r="U9">
        <f t="shared" si="11"/>
        <v>10</v>
      </c>
      <c r="V9">
        <f t="shared" si="12"/>
        <v>7</v>
      </c>
      <c r="X9" s="51"/>
      <c r="Y9" s="51"/>
      <c r="Z9" s="51"/>
      <c r="AA9" s="51"/>
    </row>
    <row r="10" spans="1:27" ht="28.5">
      <c r="A10" s="10" t="s">
        <v>41</v>
      </c>
      <c r="B10" s="24" t="str">
        <f>_xlfn.XLOOKUP(A10,'01_input_asset_master'!A$2:A$11,'01_input_asset_master'!B$2:B$11)</f>
        <v>Capitol Square Homes</v>
      </c>
      <c r="C10" s="24">
        <f>_xlfn.XLOOKUP(A10,'01_input_asset_master'!A$2:A$11,'01_input_asset_master'!H$2:H$11)</f>
        <v>175000</v>
      </c>
      <c r="D10" s="24">
        <f>_xlfn.XLOOKUP(A10,'01_input_asset_master'!A$2:A$11,'01_input_asset_master'!I$2:I$11)</f>
        <v>190</v>
      </c>
      <c r="E10" s="24">
        <f>SUMIFS(INDEX('04_input_waste_monthly'!$A:$Z,0,MATCH("landfill_tons",'04_input_waste_monthly'!$1:$1,0)),'04_input_waste_monthly'!$A:$A,A10)</f>
        <v>105.33999999999999</v>
      </c>
      <c r="F10" s="24">
        <f>SUMIFS(INDEX('04_input_waste_monthly'!$A:$Z,0,MATCH("recycling_tons",'04_input_waste_monthly'!$1:$1,0)),'04_input_waste_monthly'!$A:$A,A10)</f>
        <v>49.690000000000012</v>
      </c>
      <c r="G10" s="24">
        <f>SUMIFS(INDEX('04_input_waste_monthly'!$A:$Z,0,MATCH("compost_tons",'04_input_waste_monthly'!$1:$1,0)),'04_input_waste_monthly'!$A:$A,A10)</f>
        <v>2.8500000000000005</v>
      </c>
      <c r="H10" s="24">
        <f t="shared" si="0"/>
        <v>157.88</v>
      </c>
      <c r="I10" s="24">
        <f>SUMIFS(INDEX('04_input_waste_monthly'!$A:$Z,0,MATCH("waste_cost_usd",'04_input_waste_monthly'!$1:$1,0)),'04_input_waste_monthly'!$A:$A,A10)</f>
        <v>26278</v>
      </c>
      <c r="J10" s="24">
        <f t="shared" si="1"/>
        <v>52.540000000000013</v>
      </c>
      <c r="K10" s="28">
        <f t="shared" si="2"/>
        <v>0.33278439321003306</v>
      </c>
      <c r="L10" s="29">
        <f t="shared" si="3"/>
        <v>0.83094736842105266</v>
      </c>
      <c r="M10" s="30">
        <f t="shared" si="4"/>
        <v>0.90217142857142851</v>
      </c>
      <c r="N10" s="30">
        <f t="shared" si="5"/>
        <v>138.30526315789473</v>
      </c>
      <c r="O10" s="29">
        <f t="shared" si="6"/>
        <v>0.15015999999999999</v>
      </c>
      <c r="P10" s="24">
        <f>COUNTIFS('04_input_waste_monthly'!$A:$A,A10,INDEX('04_input_waste_monthly'!$A:$Z,0,MATCH("landfill_tons",'04_input_waste_monthly'!$1:$1,0)),"&gt;0")</f>
        <v>12</v>
      </c>
      <c r="Q10" s="27">
        <f t="shared" si="7"/>
        <v>1</v>
      </c>
      <c r="R10" s="24" t="str">
        <f t="shared" si="8"/>
        <v>High Waste</v>
      </c>
      <c r="S10" s="24" t="str">
        <f t="shared" si="9"/>
        <v>Moderate Diversion</v>
      </c>
      <c r="T10" s="19" t="str">
        <f t="shared" si="10"/>
        <v>Waste audit + contamination review + right-size bins</v>
      </c>
      <c r="U10">
        <f t="shared" si="11"/>
        <v>4</v>
      </c>
      <c r="V10">
        <f t="shared" si="12"/>
        <v>10</v>
      </c>
      <c r="X10" s="51"/>
      <c r="Y10" s="51"/>
      <c r="Z10" s="51"/>
      <c r="AA10" s="51"/>
    </row>
    <row r="11" spans="1:27" ht="28.5">
      <c r="A11" s="11" t="s">
        <v>43</v>
      </c>
      <c r="B11" s="24" t="str">
        <f>_xlfn.XLOOKUP(A11,'01_input_asset_master'!A$2:A$11,'01_input_asset_master'!B$2:B$11)</f>
        <v>Harbor Point Apartments</v>
      </c>
      <c r="C11" s="24">
        <f>_xlfn.XLOOKUP(A11,'01_input_asset_master'!A$2:A$11,'01_input_asset_master'!H$2:H$11)</f>
        <v>160000</v>
      </c>
      <c r="D11" s="24">
        <f>_xlfn.XLOOKUP(A11,'01_input_asset_master'!A$2:A$11,'01_input_asset_master'!I$2:I$11)</f>
        <v>175</v>
      </c>
      <c r="E11" s="24">
        <f>SUMIFS(INDEX('04_input_waste_monthly'!$A:$Z,0,MATCH("landfill_tons",'04_input_waste_monthly'!$1:$1,0)),'04_input_waste_monthly'!$A:$A,A11)</f>
        <v>112.20000000000002</v>
      </c>
      <c r="F11" s="24">
        <f>SUMIFS(INDEX('04_input_waste_monthly'!$A:$Z,0,MATCH("recycling_tons",'04_input_waste_monthly'!$1:$1,0)),'04_input_waste_monthly'!$A:$A,A11)</f>
        <v>29.37</v>
      </c>
      <c r="G11" s="24">
        <f>SUMIFS(INDEX('04_input_waste_monthly'!$A:$Z,0,MATCH("compost_tons",'04_input_waste_monthly'!$1:$1,0)),'04_input_waste_monthly'!$A:$A,A11)</f>
        <v>0</v>
      </c>
      <c r="H11" s="24">
        <f t="shared" si="0"/>
        <v>141.57000000000002</v>
      </c>
      <c r="I11" s="24">
        <f>SUMIFS(INDEX('04_input_waste_monthly'!$A:$Z,0,MATCH("waste_cost_usd",'04_input_waste_monthly'!$1:$1,0)),'04_input_waste_monthly'!$A:$A,A11)</f>
        <v>23732</v>
      </c>
      <c r="J11" s="24">
        <f t="shared" si="1"/>
        <v>29.37</v>
      </c>
      <c r="K11" s="28">
        <f t="shared" si="2"/>
        <v>0.20745920745920743</v>
      </c>
      <c r="L11" s="29">
        <f t="shared" si="3"/>
        <v>0.80897142857142867</v>
      </c>
      <c r="M11" s="30">
        <f t="shared" si="4"/>
        <v>0.88481250000000011</v>
      </c>
      <c r="N11" s="30">
        <f t="shared" si="5"/>
        <v>135.61142857142858</v>
      </c>
      <c r="O11" s="29">
        <f t="shared" si="6"/>
        <v>0.14832500000000001</v>
      </c>
      <c r="P11" s="24">
        <f>COUNTIFS('04_input_waste_monthly'!$A:$A,A11,INDEX('04_input_waste_monthly'!$A:$Z,0,MATCH("landfill_tons",'04_input_waste_monthly'!$1:$1,0)),"&gt;0")</f>
        <v>12</v>
      </c>
      <c r="Q11" s="27">
        <f t="shared" si="7"/>
        <v>1</v>
      </c>
      <c r="R11" s="24" t="str">
        <f t="shared" si="8"/>
        <v>High Waste</v>
      </c>
      <c r="S11" s="24" t="str">
        <f t="shared" si="9"/>
        <v>Weak Diversion</v>
      </c>
      <c r="T11" s="19" t="str">
        <f t="shared" si="10"/>
        <v>Waste audit + recycling access + tenant education + vendor review</v>
      </c>
      <c r="U11">
        <f t="shared" si="11"/>
        <v>8</v>
      </c>
      <c r="V11">
        <f t="shared" si="12"/>
        <v>2</v>
      </c>
      <c r="X11" s="51"/>
      <c r="Y11" s="51"/>
      <c r="Z11" s="51"/>
      <c r="AA11" s="51"/>
    </row>
  </sheetData>
  <mergeCells count="1">
    <mergeCell ref="X4:AA1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7"/>
  <sheetViews>
    <sheetView workbookViewId="0"/>
  </sheetViews>
  <sheetFormatPr defaultRowHeight="14.25"/>
  <cols>
    <col min="1" max="26" width="18" customWidth="1"/>
  </cols>
  <sheetData>
    <row r="1" spans="1:16" ht="30">
      <c r="A1" s="1" t="s">
        <v>97</v>
      </c>
      <c r="B1" s="1" t="s">
        <v>98</v>
      </c>
      <c r="C1" s="1" t="s">
        <v>99</v>
      </c>
      <c r="D1" s="1" t="s">
        <v>100</v>
      </c>
      <c r="E1" s="1" t="s">
        <v>101</v>
      </c>
      <c r="F1" s="1" t="s">
        <v>102</v>
      </c>
      <c r="G1" s="1" t="s">
        <v>103</v>
      </c>
      <c r="H1" s="1" t="s">
        <v>104</v>
      </c>
      <c r="I1" s="1" t="s">
        <v>105</v>
      </c>
      <c r="J1" s="1" t="s">
        <v>106</v>
      </c>
      <c r="K1" s="1" t="s">
        <v>107</v>
      </c>
      <c r="L1" s="1" t="s">
        <v>108</v>
      </c>
      <c r="M1" s="1" t="s">
        <v>109</v>
      </c>
      <c r="N1" s="1" t="s">
        <v>110</v>
      </c>
      <c r="O1" s="1" t="s">
        <v>111</v>
      </c>
      <c r="P1" s="1" t="s">
        <v>112</v>
      </c>
    </row>
    <row r="2" spans="1:16" ht="85.5">
      <c r="A2" s="3" t="s">
        <v>113</v>
      </c>
      <c r="B2" s="3" t="s">
        <v>114</v>
      </c>
      <c r="C2" s="3" t="s">
        <v>115</v>
      </c>
      <c r="D2" s="3" t="s">
        <v>116</v>
      </c>
      <c r="E2" s="3" t="s">
        <v>117</v>
      </c>
      <c r="F2" s="3" t="s">
        <v>118</v>
      </c>
      <c r="G2" s="3" t="s">
        <v>119</v>
      </c>
      <c r="H2" s="3" t="s">
        <v>120</v>
      </c>
      <c r="I2" s="3" t="s">
        <v>121</v>
      </c>
      <c r="J2" s="3" t="s">
        <v>122</v>
      </c>
      <c r="K2" s="3" t="s">
        <v>123</v>
      </c>
      <c r="L2" s="3" t="s">
        <v>124</v>
      </c>
      <c r="M2" s="3" t="s">
        <v>125</v>
      </c>
      <c r="N2" s="3" t="s">
        <v>126</v>
      </c>
      <c r="O2" s="3" t="s">
        <v>127</v>
      </c>
      <c r="P2" s="3" t="s">
        <v>128</v>
      </c>
    </row>
    <row r="3" spans="1:16" ht="57">
      <c r="A3" s="3" t="s">
        <v>129</v>
      </c>
      <c r="B3" s="3" t="s">
        <v>114</v>
      </c>
      <c r="C3" s="3" t="s">
        <v>115</v>
      </c>
      <c r="D3" s="3" t="s">
        <v>130</v>
      </c>
      <c r="E3" s="3" t="s">
        <v>117</v>
      </c>
      <c r="F3" s="3" t="s">
        <v>118</v>
      </c>
      <c r="G3" s="3" t="s">
        <v>119</v>
      </c>
      <c r="H3" s="3" t="s">
        <v>131</v>
      </c>
      <c r="I3" s="3" t="s">
        <v>132</v>
      </c>
      <c r="J3" s="3" t="s">
        <v>122</v>
      </c>
      <c r="K3" s="3" t="s">
        <v>133</v>
      </c>
      <c r="L3" s="3" t="s">
        <v>124</v>
      </c>
      <c r="M3" s="3" t="s">
        <v>134</v>
      </c>
      <c r="N3" s="3" t="s">
        <v>126</v>
      </c>
      <c r="O3" s="3" t="s">
        <v>135</v>
      </c>
      <c r="P3" s="3" t="s">
        <v>136</v>
      </c>
    </row>
    <row r="4" spans="1:16" ht="57">
      <c r="A4" s="3" t="s">
        <v>137</v>
      </c>
      <c r="B4" s="3" t="s">
        <v>114</v>
      </c>
      <c r="C4" s="3" t="s">
        <v>115</v>
      </c>
      <c r="D4" s="3" t="s">
        <v>138</v>
      </c>
      <c r="E4" s="3" t="s">
        <v>117</v>
      </c>
      <c r="F4" s="3" t="s">
        <v>118</v>
      </c>
      <c r="G4" s="3" t="s">
        <v>119</v>
      </c>
      <c r="H4" s="3" t="s">
        <v>139</v>
      </c>
      <c r="I4" s="3" t="s">
        <v>140</v>
      </c>
      <c r="J4" s="3" t="s">
        <v>141</v>
      </c>
      <c r="K4" s="3" t="s">
        <v>142</v>
      </c>
      <c r="L4" s="3" t="s">
        <v>124</v>
      </c>
      <c r="M4" s="3" t="s">
        <v>143</v>
      </c>
      <c r="N4" s="3" t="s">
        <v>126</v>
      </c>
      <c r="O4" s="3" t="s">
        <v>144</v>
      </c>
      <c r="P4" s="3" t="s">
        <v>136</v>
      </c>
    </row>
    <row r="5" spans="1:16" ht="57">
      <c r="A5" s="3" t="s">
        <v>145</v>
      </c>
      <c r="B5" s="3" t="s">
        <v>114</v>
      </c>
      <c r="C5" s="3" t="s">
        <v>115</v>
      </c>
      <c r="D5" s="3" t="s">
        <v>146</v>
      </c>
      <c r="E5" s="3" t="s">
        <v>117</v>
      </c>
      <c r="F5" s="3" t="s">
        <v>118</v>
      </c>
      <c r="G5" s="3" t="s">
        <v>119</v>
      </c>
      <c r="H5" s="3" t="s">
        <v>147</v>
      </c>
      <c r="I5" s="3" t="s">
        <v>148</v>
      </c>
      <c r="J5" s="3" t="s">
        <v>149</v>
      </c>
      <c r="K5" s="3" t="s">
        <v>150</v>
      </c>
      <c r="L5" s="3" t="s">
        <v>124</v>
      </c>
      <c r="M5" s="3" t="s">
        <v>151</v>
      </c>
      <c r="N5" s="3" t="s">
        <v>126</v>
      </c>
      <c r="O5" s="3" t="s">
        <v>152</v>
      </c>
      <c r="P5" s="3" t="s">
        <v>153</v>
      </c>
    </row>
    <row r="6" spans="1:16" ht="99.75">
      <c r="A6" s="3" t="s">
        <v>154</v>
      </c>
      <c r="B6" s="3" t="s">
        <v>155</v>
      </c>
      <c r="C6" s="3" t="s">
        <v>156</v>
      </c>
      <c r="D6" s="3" t="s">
        <v>157</v>
      </c>
      <c r="E6" s="3" t="s">
        <v>158</v>
      </c>
      <c r="F6" s="3" t="s">
        <v>159</v>
      </c>
      <c r="G6" s="3" t="s">
        <v>160</v>
      </c>
      <c r="H6" s="3" t="s">
        <v>161</v>
      </c>
      <c r="I6" s="3" t="s">
        <v>162</v>
      </c>
      <c r="J6" s="3" t="s">
        <v>163</v>
      </c>
      <c r="K6" s="3" t="s">
        <v>164</v>
      </c>
      <c r="L6" s="3" t="s">
        <v>165</v>
      </c>
      <c r="M6" s="3" t="s">
        <v>166</v>
      </c>
      <c r="N6" s="3" t="s">
        <v>167</v>
      </c>
      <c r="O6" s="3" t="s">
        <v>168</v>
      </c>
      <c r="P6" s="3" t="s">
        <v>169</v>
      </c>
    </row>
    <row r="7" spans="1:16" ht="71.25">
      <c r="A7" s="3" t="s">
        <v>170</v>
      </c>
      <c r="B7" s="3" t="s">
        <v>155</v>
      </c>
      <c r="C7" s="3" t="s">
        <v>156</v>
      </c>
      <c r="D7" s="3" t="s">
        <v>157</v>
      </c>
      <c r="E7" s="3" t="s">
        <v>171</v>
      </c>
      <c r="F7" s="3" t="s">
        <v>172</v>
      </c>
      <c r="G7" s="3" t="s">
        <v>173</v>
      </c>
      <c r="H7" s="3" t="s">
        <v>174</v>
      </c>
      <c r="I7" s="3" t="s">
        <v>175</v>
      </c>
      <c r="J7" s="3" t="s">
        <v>176</v>
      </c>
      <c r="K7" s="3" t="s">
        <v>177</v>
      </c>
      <c r="L7" s="3" t="s">
        <v>178</v>
      </c>
      <c r="M7" s="3" t="s">
        <v>179</v>
      </c>
      <c r="N7" s="3" t="s">
        <v>167</v>
      </c>
      <c r="O7" s="3" t="s">
        <v>180</v>
      </c>
      <c r="P7" s="3" t="s">
        <v>181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CB29C-9B12-4100-816D-ADE2AF78197D}">
  <dimension ref="A1:Z22"/>
  <sheetViews>
    <sheetView topLeftCell="L1" workbookViewId="0">
      <selection activeCell="R24" sqref="R24"/>
    </sheetView>
  </sheetViews>
  <sheetFormatPr defaultRowHeight="15"/>
  <cols>
    <col min="1" max="1" width="15.875" style="38" customWidth="1"/>
    <col min="2" max="2" width="20.875" style="38" customWidth="1"/>
    <col min="3" max="15" width="15.875" style="38" customWidth="1"/>
    <col min="16" max="16" width="23.625" style="38" customWidth="1"/>
    <col min="17" max="17" width="15.875" style="38" customWidth="1"/>
    <col min="18" max="18" width="42.75" style="38" customWidth="1"/>
  </cols>
  <sheetData>
    <row r="1" spans="1:26" ht="45">
      <c r="A1" s="37" t="s">
        <v>0</v>
      </c>
      <c r="B1" s="37" t="s">
        <v>1</v>
      </c>
      <c r="C1" s="37" t="s">
        <v>7</v>
      </c>
      <c r="D1" s="37" t="s">
        <v>8</v>
      </c>
      <c r="E1" s="37" t="s">
        <v>1046</v>
      </c>
      <c r="F1" s="37" t="s">
        <v>1047</v>
      </c>
      <c r="G1" s="37" t="s">
        <v>1107</v>
      </c>
      <c r="H1" s="37" t="s">
        <v>1108</v>
      </c>
      <c r="I1" s="37" t="s">
        <v>1109</v>
      </c>
      <c r="J1" s="37" t="s">
        <v>1110</v>
      </c>
      <c r="K1" s="37" t="s">
        <v>1111</v>
      </c>
      <c r="L1" s="37" t="s">
        <v>1112</v>
      </c>
      <c r="M1" s="37" t="s">
        <v>1113</v>
      </c>
      <c r="N1" s="37" t="s">
        <v>1114</v>
      </c>
      <c r="O1" s="37" t="s">
        <v>1115</v>
      </c>
      <c r="P1" s="37" t="s">
        <v>1116</v>
      </c>
      <c r="Q1" s="37" t="s">
        <v>1117</v>
      </c>
      <c r="R1" s="37" t="s">
        <v>1118</v>
      </c>
      <c r="U1" s="15"/>
      <c r="V1" s="15"/>
      <c r="W1" s="15"/>
      <c r="X1" s="15"/>
      <c r="Y1" s="15"/>
      <c r="Z1" s="15"/>
    </row>
    <row r="2" spans="1:26" ht="14.25">
      <c r="A2" s="10" t="s">
        <v>11</v>
      </c>
      <c r="B2" s="22" t="str">
        <f>_xlfn.XLOOKUP(A2,'01_input_asset_master'!A$2:A$11,'01_input_asset_master'!B$2:B$11)</f>
        <v>Riverbend Apartments</v>
      </c>
      <c r="C2" s="22">
        <f>_xlfn.XLOOKUP(A2,'01_input_asset_master'!A$2:A$11,'01_input_asset_master'!H$2:H$11)</f>
        <v>165000</v>
      </c>
      <c r="D2" s="22">
        <f>_xlfn.XLOOKUP(A2,'01_input_asset_master'!A$2:A$11,'01_input_asset_master'!I$2:I$11)</f>
        <v>180</v>
      </c>
      <c r="E2" s="22">
        <f>_xlfn.XLOOKUP(A2,'11_calc_energy_summary'!A$2:A$11,'11_calc_energy_summary'!E$2:E$11)</f>
        <v>1131188</v>
      </c>
      <c r="F2" s="22">
        <f>_xlfn.XLOOKUP(A2,'11_calc_energy_summary'!A$2:A$11,'11_calc_energy_summary'!F$2:F$11)</f>
        <v>56939</v>
      </c>
      <c r="G2" s="22">
        <f>0.527779</f>
        <v>0.527779</v>
      </c>
      <c r="H2" s="22">
        <f>5.31145</f>
        <v>5.3114499999999998</v>
      </c>
      <c r="I2" s="22">
        <f>E2*G2/1000</f>
        <v>597.01727145200005</v>
      </c>
      <c r="J2" s="22">
        <f>F2*H2/1000</f>
        <v>302.42865154999998</v>
      </c>
      <c r="K2" s="22">
        <f>I2+J2</f>
        <v>899.44592300199997</v>
      </c>
      <c r="L2" s="22">
        <f>K2*1000/C2</f>
        <v>5.4511874121333328</v>
      </c>
      <c r="M2" s="22">
        <f>K2/D2</f>
        <v>4.9969217944555551</v>
      </c>
      <c r="N2" s="39">
        <f>IF(K2=0,0,I2/K2)</f>
        <v>0.66376116249367056</v>
      </c>
      <c r="O2" s="39">
        <f>IF(K2=0,0,J2/K2)</f>
        <v>0.33623883750632944</v>
      </c>
      <c r="P2" s="22" t="str">
        <f>IF(L2&gt;6,"High Carbon Intensity",IF(L2&gt;5,"Moderate Carbon Intensity","Lower Carbon Intensity"))</f>
        <v>Moderate Carbon Intensity</v>
      </c>
      <c r="Q2" s="22">
        <f>_xlfn.RANK.EQ(L2,$L$2:$L$11,0)</f>
        <v>5</v>
      </c>
      <c r="R2" s="15" t="str">
        <f>IF(P2="High Carbon Intensity","Energy audit + electricity efficiency + gas/heating system review",IF(AND(P2="Moderate Carbon Intensity",O2&gt;0.33),"Monitor + boiler/DHW controls review","Maintain + monitor emissions"))</f>
        <v>Monitor + boiler/DHW controls review</v>
      </c>
      <c r="S2" s="22"/>
      <c r="U2" s="15"/>
      <c r="V2" s="15"/>
      <c r="W2" s="15"/>
      <c r="X2" s="15"/>
      <c r="Y2" s="15"/>
      <c r="Z2" s="15"/>
    </row>
    <row r="3" spans="1:26" ht="28.5">
      <c r="A3" s="11" t="s">
        <v>17</v>
      </c>
      <c r="B3" s="22" t="str">
        <f>_xlfn.XLOOKUP(A3,'01_input_asset_master'!A$2:A$11,'01_input_asset_master'!B$2:B$11)</f>
        <v>Lakeview Terrace</v>
      </c>
      <c r="C3" s="22">
        <f>_xlfn.XLOOKUP(A3,'01_input_asset_master'!A$2:A$11,'01_input_asset_master'!H$2:H$11)</f>
        <v>220000</v>
      </c>
      <c r="D3" s="22">
        <f>_xlfn.XLOOKUP(A3,'01_input_asset_master'!A$2:A$11,'01_input_asset_master'!I$2:I$11)</f>
        <v>240</v>
      </c>
      <c r="E3" s="22">
        <f>_xlfn.XLOOKUP(A3,'11_calc_energy_summary'!A$2:A$11,'11_calc_energy_summary'!E$2:E$11)</f>
        <v>1622015</v>
      </c>
      <c r="F3" s="22">
        <f>_xlfn.XLOOKUP(A3,'11_calc_energy_summary'!A$2:A$11,'11_calc_energy_summary'!F$2:F$11)</f>
        <v>90298</v>
      </c>
      <c r="G3" s="22">
        <f t="shared" ref="G3:G11" si="0">0.527779</f>
        <v>0.527779</v>
      </c>
      <c r="H3" s="22">
        <f t="shared" ref="H3:H11" si="1">5.31145</f>
        <v>5.3114499999999998</v>
      </c>
      <c r="I3" s="22">
        <f t="shared" ref="I3:I11" si="2">E3*G3/1000</f>
        <v>856.06545468499996</v>
      </c>
      <c r="J3" s="22">
        <f t="shared" ref="J3:J11" si="3">F3*H3/1000</f>
        <v>479.61331209999997</v>
      </c>
      <c r="K3" s="22">
        <f t="shared" ref="K3:K11" si="4">I3+J3</f>
        <v>1335.6787667849999</v>
      </c>
      <c r="L3" s="22">
        <f t="shared" ref="L3:L11" si="5">K3*1000/C3</f>
        <v>6.0712671217500001</v>
      </c>
      <c r="M3" s="22">
        <f t="shared" ref="M3:M11" si="6">K3/D3</f>
        <v>5.5653281949374991</v>
      </c>
      <c r="N3" s="39">
        <f t="shared" ref="N3:N11" si="7">IF(K3=0,0,I3/K3)</f>
        <v>0.64092166168483999</v>
      </c>
      <c r="O3" s="39">
        <f t="shared" ref="O3:O11" si="8">IF(K3=0,0,J3/K3)</f>
        <v>0.35907833831516006</v>
      </c>
      <c r="P3" s="22" t="str">
        <f t="shared" ref="P3:P11" si="9">IF(L3&gt;6,"High Carbon Intensity",IF(L3&gt;5,"Moderate Carbon Intensity","Lower Carbon Intensity"))</f>
        <v>High Carbon Intensity</v>
      </c>
      <c r="Q3" s="22">
        <f t="shared" ref="Q3:Q11" si="10">_xlfn.RANK.EQ(L3,$L$2:$L$11,0)</f>
        <v>2</v>
      </c>
      <c r="R3" s="15" t="str">
        <f t="shared" ref="R3:R11" si="11">IF(P3="High Carbon Intensity","Energy audit + electricity efficiency + gas/heating system review",IF(AND(P3="Moderate Carbon Intensity",O3&gt;0.33),"Monitor + boiler/DHW controls review","Maintain + monitor emissions"))</f>
        <v>Energy audit + electricity efficiency + gas/heating system review</v>
      </c>
      <c r="S3" s="22"/>
      <c r="U3" s="15"/>
      <c r="V3" s="15"/>
      <c r="W3" s="15"/>
      <c r="X3" s="15"/>
      <c r="Y3" s="15"/>
      <c r="Z3" s="15"/>
    </row>
    <row r="4" spans="1:26" ht="14.25">
      <c r="A4" s="10" t="s">
        <v>20</v>
      </c>
      <c r="B4" s="22" t="str">
        <f>_xlfn.XLOOKUP(A4,'01_input_asset_master'!A$2:A$11,'01_input_asset_master'!B$2:B$11)</f>
        <v>Northside Commons</v>
      </c>
      <c r="C4" s="22">
        <f>_xlfn.XLOOKUP(A4,'01_input_asset_master'!A$2:A$11,'01_input_asset_master'!H$2:H$11)</f>
        <v>145000</v>
      </c>
      <c r="D4" s="22">
        <f>_xlfn.XLOOKUP(A4,'01_input_asset_master'!A$2:A$11,'01_input_asset_master'!I$2:I$11)</f>
        <v>160</v>
      </c>
      <c r="E4" s="22">
        <f>_xlfn.XLOOKUP(A4,'11_calc_energy_summary'!A$2:A$11,'11_calc_energy_summary'!E$2:E$11)</f>
        <v>980726</v>
      </c>
      <c r="F4" s="22">
        <f>_xlfn.XLOOKUP(A4,'11_calc_energy_summary'!A$2:A$11,'11_calc_energy_summary'!F$2:F$11)</f>
        <v>45270</v>
      </c>
      <c r="G4" s="22">
        <f t="shared" si="0"/>
        <v>0.527779</v>
      </c>
      <c r="H4" s="22">
        <f t="shared" si="1"/>
        <v>5.3114499999999998</v>
      </c>
      <c r="I4" s="22">
        <f t="shared" si="2"/>
        <v>517.60658755400004</v>
      </c>
      <c r="J4" s="22">
        <f t="shared" si="3"/>
        <v>240.44934149999997</v>
      </c>
      <c r="K4" s="22">
        <f t="shared" si="4"/>
        <v>758.05592905399999</v>
      </c>
      <c r="L4" s="22">
        <f t="shared" si="5"/>
        <v>5.2279719245103449</v>
      </c>
      <c r="M4" s="22">
        <f t="shared" si="6"/>
        <v>4.7378495565875003</v>
      </c>
      <c r="N4" s="39">
        <f t="shared" si="7"/>
        <v>0.68280791392257345</v>
      </c>
      <c r="O4" s="39">
        <f t="shared" si="8"/>
        <v>0.3171920860774266</v>
      </c>
      <c r="P4" s="22" t="str">
        <f t="shared" si="9"/>
        <v>Moderate Carbon Intensity</v>
      </c>
      <c r="Q4" s="22">
        <f t="shared" si="10"/>
        <v>7</v>
      </c>
      <c r="R4" s="15" t="str">
        <f t="shared" si="11"/>
        <v>Maintain + monitor emissions</v>
      </c>
      <c r="S4" s="22"/>
      <c r="U4" s="15"/>
      <c r="V4" s="15"/>
      <c r="W4" s="15"/>
      <c r="X4" s="15"/>
      <c r="Y4" s="15"/>
      <c r="Z4" s="15"/>
    </row>
    <row r="5" spans="1:26" ht="14.25">
      <c r="A5" s="11" t="s">
        <v>24</v>
      </c>
      <c r="B5" s="22" t="str">
        <f>_xlfn.XLOOKUP(A5,'01_input_asset_master'!A$2:A$11,'01_input_asset_master'!B$2:B$11)</f>
        <v>Badger Ridge Homes</v>
      </c>
      <c r="C5" s="22">
        <f>_xlfn.XLOOKUP(A5,'01_input_asset_master'!A$2:A$11,'01_input_asset_master'!H$2:H$11)</f>
        <v>120000</v>
      </c>
      <c r="D5" s="22">
        <f>_xlfn.XLOOKUP(A5,'01_input_asset_master'!A$2:A$11,'01_input_asset_master'!I$2:I$11)</f>
        <v>130</v>
      </c>
      <c r="E5" s="22">
        <f>_xlfn.XLOOKUP(A5,'11_calc_energy_summary'!A$2:A$11,'11_calc_energy_summary'!E$2:E$11)</f>
        <v>837617</v>
      </c>
      <c r="F5" s="22">
        <f>_xlfn.XLOOKUP(A5,'11_calc_energy_summary'!A$2:A$11,'11_calc_energy_summary'!F$2:F$11)</f>
        <v>45461</v>
      </c>
      <c r="G5" s="22">
        <f t="shared" si="0"/>
        <v>0.527779</v>
      </c>
      <c r="H5" s="22">
        <f t="shared" si="1"/>
        <v>5.3114499999999998</v>
      </c>
      <c r="I5" s="22">
        <f t="shared" si="2"/>
        <v>442.07666264300002</v>
      </c>
      <c r="J5" s="22">
        <f t="shared" si="3"/>
        <v>241.46382844999999</v>
      </c>
      <c r="K5" s="22">
        <f t="shared" si="4"/>
        <v>683.54049109300001</v>
      </c>
      <c r="L5" s="22">
        <f t="shared" si="5"/>
        <v>5.6961707591083339</v>
      </c>
      <c r="M5" s="22">
        <f t="shared" si="6"/>
        <v>5.2580037776384616</v>
      </c>
      <c r="N5" s="39">
        <f t="shared" si="7"/>
        <v>0.6467453916828062</v>
      </c>
      <c r="O5" s="39">
        <f t="shared" si="8"/>
        <v>0.35325460831719374</v>
      </c>
      <c r="P5" s="22" t="str">
        <f t="shared" si="9"/>
        <v>Moderate Carbon Intensity</v>
      </c>
      <c r="Q5" s="22">
        <f t="shared" si="10"/>
        <v>4</v>
      </c>
      <c r="R5" s="15" t="str">
        <f t="shared" si="11"/>
        <v>Monitor + boiler/DHW controls review</v>
      </c>
      <c r="S5" s="22"/>
      <c r="U5" s="15"/>
      <c r="V5" s="15"/>
      <c r="W5" s="15"/>
      <c r="X5" s="15"/>
      <c r="Y5" s="15"/>
      <c r="Z5" s="15"/>
    </row>
    <row r="6" spans="1:26" ht="14.25">
      <c r="A6" s="10" t="s">
        <v>28</v>
      </c>
      <c r="B6" s="22" t="str">
        <f>_xlfn.XLOOKUP(A6,'01_input_asset_master'!A$2:A$11,'01_input_asset_master'!B$2:B$11)</f>
        <v>Oak Street Lofts</v>
      </c>
      <c r="C6" s="22">
        <f>_xlfn.XLOOKUP(A6,'01_input_asset_master'!A$2:A$11,'01_input_asset_master'!H$2:H$11)</f>
        <v>98000</v>
      </c>
      <c r="D6" s="22">
        <f>_xlfn.XLOOKUP(A6,'01_input_asset_master'!A$2:A$11,'01_input_asset_master'!I$2:I$11)</f>
        <v>105</v>
      </c>
      <c r="E6" s="22">
        <f>_xlfn.XLOOKUP(A6,'11_calc_energy_summary'!A$2:A$11,'11_calc_energy_summary'!E$2:E$11)</f>
        <v>642364</v>
      </c>
      <c r="F6" s="22">
        <f>_xlfn.XLOOKUP(A6,'11_calc_energy_summary'!A$2:A$11,'11_calc_energy_summary'!F$2:F$11)</f>
        <v>25318</v>
      </c>
      <c r="G6" s="22">
        <f t="shared" si="0"/>
        <v>0.527779</v>
      </c>
      <c r="H6" s="22">
        <f t="shared" si="1"/>
        <v>5.3114499999999998</v>
      </c>
      <c r="I6" s="22">
        <f t="shared" si="2"/>
        <v>339.02622955599998</v>
      </c>
      <c r="J6" s="22">
        <f t="shared" si="3"/>
        <v>134.47529109999999</v>
      </c>
      <c r="K6" s="22">
        <f t="shared" si="4"/>
        <v>473.50152065599997</v>
      </c>
      <c r="L6" s="22">
        <f t="shared" si="5"/>
        <v>4.8316481699591831</v>
      </c>
      <c r="M6" s="22">
        <f t="shared" si="6"/>
        <v>4.5095382919619045</v>
      </c>
      <c r="N6" s="39">
        <f t="shared" si="7"/>
        <v>0.7159981853623304</v>
      </c>
      <c r="O6" s="39">
        <f t="shared" si="8"/>
        <v>0.2840018146376696</v>
      </c>
      <c r="P6" s="22" t="str">
        <f t="shared" si="9"/>
        <v>Lower Carbon Intensity</v>
      </c>
      <c r="Q6" s="22">
        <f t="shared" si="10"/>
        <v>9</v>
      </c>
      <c r="R6" s="15" t="str">
        <f t="shared" si="11"/>
        <v>Maintain + monitor emissions</v>
      </c>
      <c r="S6" s="22"/>
      <c r="U6" s="15"/>
      <c r="V6" s="15"/>
      <c r="W6" s="15"/>
      <c r="X6" s="15"/>
      <c r="Y6" s="15"/>
      <c r="Z6" s="15"/>
    </row>
    <row r="7" spans="1:26" ht="28.5">
      <c r="A7" s="11" t="s">
        <v>31</v>
      </c>
      <c r="B7" s="22" t="str">
        <f>_xlfn.XLOOKUP(A7,'01_input_asset_master'!A$2:A$11,'01_input_asset_master'!B$2:B$11)</f>
        <v>South Park Apartments</v>
      </c>
      <c r="C7" s="22">
        <f>_xlfn.XLOOKUP(A7,'01_input_asset_master'!A$2:A$11,'01_input_asset_master'!H$2:H$11)</f>
        <v>185000</v>
      </c>
      <c r="D7" s="22">
        <f>_xlfn.XLOOKUP(A7,'01_input_asset_master'!A$2:A$11,'01_input_asset_master'!I$2:I$11)</f>
        <v>210</v>
      </c>
      <c r="E7" s="22">
        <f>_xlfn.XLOOKUP(A7,'11_calc_energy_summary'!A$2:A$11,'11_calc_energy_summary'!E$2:E$11)</f>
        <v>1394876</v>
      </c>
      <c r="F7" s="22">
        <f>_xlfn.XLOOKUP(A7,'11_calc_energy_summary'!A$2:A$11,'11_calc_energy_summary'!F$2:F$11)</f>
        <v>77653</v>
      </c>
      <c r="G7" s="22">
        <f t="shared" si="0"/>
        <v>0.527779</v>
      </c>
      <c r="H7" s="22">
        <f t="shared" si="1"/>
        <v>5.3114499999999998</v>
      </c>
      <c r="I7" s="22">
        <f t="shared" si="2"/>
        <v>736.186260404</v>
      </c>
      <c r="J7" s="22">
        <f t="shared" si="3"/>
        <v>412.45002684999997</v>
      </c>
      <c r="K7" s="22">
        <f t="shared" si="4"/>
        <v>1148.6362872539999</v>
      </c>
      <c r="L7" s="22">
        <f t="shared" si="5"/>
        <v>6.2088447959675666</v>
      </c>
      <c r="M7" s="22">
        <f t="shared" si="6"/>
        <v>5.4696966059714276</v>
      </c>
      <c r="N7" s="39">
        <f t="shared" si="7"/>
        <v>0.64092199469335231</v>
      </c>
      <c r="O7" s="39">
        <f t="shared" si="8"/>
        <v>0.3590780053066478</v>
      </c>
      <c r="P7" s="22" t="str">
        <f t="shared" si="9"/>
        <v>High Carbon Intensity</v>
      </c>
      <c r="Q7" s="22">
        <f t="shared" si="10"/>
        <v>1</v>
      </c>
      <c r="R7" s="15" t="str">
        <f t="shared" si="11"/>
        <v>Energy audit + electricity efficiency + gas/heating system review</v>
      </c>
      <c r="S7" s="22"/>
      <c r="U7" s="15"/>
      <c r="V7" s="15"/>
      <c r="W7" s="15"/>
      <c r="X7" s="15"/>
      <c r="Y7" s="15"/>
      <c r="Z7" s="15"/>
    </row>
    <row r="8" spans="1:26" ht="14.25">
      <c r="A8" s="10" t="s">
        <v>34</v>
      </c>
      <c r="B8" s="22" t="str">
        <f>_xlfn.XLOOKUP(A8,'01_input_asset_master'!A$2:A$11,'01_input_asset_master'!B$2:B$11)</f>
        <v>Fox River Flats</v>
      </c>
      <c r="C8" s="22">
        <f>_xlfn.XLOOKUP(A8,'01_input_asset_master'!A$2:A$11,'01_input_asset_master'!H$2:H$11)</f>
        <v>135000</v>
      </c>
      <c r="D8" s="22">
        <f>_xlfn.XLOOKUP(A8,'01_input_asset_master'!A$2:A$11,'01_input_asset_master'!I$2:I$11)</f>
        <v>150</v>
      </c>
      <c r="E8" s="22">
        <f>_xlfn.XLOOKUP(A8,'11_calc_energy_summary'!A$2:A$11,'11_calc_energy_summary'!E$2:E$11)</f>
        <v>907943</v>
      </c>
      <c r="F8" s="22">
        <f>_xlfn.XLOOKUP(A8,'11_calc_energy_summary'!A$2:A$11,'11_calc_energy_summary'!F$2:F$11)</f>
        <v>38951</v>
      </c>
      <c r="G8" s="22">
        <f t="shared" si="0"/>
        <v>0.527779</v>
      </c>
      <c r="H8" s="22">
        <f t="shared" si="1"/>
        <v>5.3114499999999998</v>
      </c>
      <c r="I8" s="22">
        <f t="shared" si="2"/>
        <v>479.19324859700004</v>
      </c>
      <c r="J8" s="22">
        <f t="shared" si="3"/>
        <v>206.88628894999999</v>
      </c>
      <c r="K8" s="22">
        <f t="shared" si="4"/>
        <v>686.07953754699997</v>
      </c>
      <c r="L8" s="22">
        <f t="shared" si="5"/>
        <v>5.0820706484962965</v>
      </c>
      <c r="M8" s="22">
        <f t="shared" si="6"/>
        <v>4.5738635836466663</v>
      </c>
      <c r="N8" s="39">
        <f t="shared" si="7"/>
        <v>0.69845145113976359</v>
      </c>
      <c r="O8" s="39">
        <f t="shared" si="8"/>
        <v>0.30154854886023652</v>
      </c>
      <c r="P8" s="22" t="str">
        <f t="shared" si="9"/>
        <v>Moderate Carbon Intensity</v>
      </c>
      <c r="Q8" s="22">
        <f t="shared" si="10"/>
        <v>8</v>
      </c>
      <c r="R8" s="15" t="str">
        <f t="shared" si="11"/>
        <v>Maintain + monitor emissions</v>
      </c>
      <c r="S8" s="22"/>
      <c r="U8" s="15"/>
      <c r="V8" s="15"/>
      <c r="W8" s="15"/>
      <c r="X8" s="15"/>
      <c r="Y8" s="15"/>
      <c r="Z8" s="15"/>
    </row>
    <row r="9" spans="1:26" ht="14.25">
      <c r="A9" s="11" t="s">
        <v>38</v>
      </c>
      <c r="B9" s="22" t="str">
        <f>_xlfn.XLOOKUP(A9,'01_input_asset_master'!A$2:A$11,'01_input_asset_master'!B$2:B$11)</f>
        <v>Prairie View Residences</v>
      </c>
      <c r="C9" s="22">
        <f>_xlfn.XLOOKUP(A9,'01_input_asset_master'!A$2:A$11,'01_input_asset_master'!H$2:H$11)</f>
        <v>110000</v>
      </c>
      <c r="D9" s="22">
        <f>_xlfn.XLOOKUP(A9,'01_input_asset_master'!A$2:A$11,'01_input_asset_master'!I$2:I$11)</f>
        <v>120</v>
      </c>
      <c r="E9" s="22">
        <f>_xlfn.XLOOKUP(A9,'11_calc_energy_summary'!A$2:A$11,'11_calc_energy_summary'!E$2:E$11)</f>
        <v>760039</v>
      </c>
      <c r="F9" s="22">
        <f>_xlfn.XLOOKUP(A9,'11_calc_energy_summary'!A$2:A$11,'11_calc_energy_summary'!F$2:F$11)</f>
        <v>37317</v>
      </c>
      <c r="G9" s="22">
        <f t="shared" si="0"/>
        <v>0.527779</v>
      </c>
      <c r="H9" s="22">
        <f t="shared" si="1"/>
        <v>5.3114499999999998</v>
      </c>
      <c r="I9" s="22">
        <f t="shared" si="2"/>
        <v>401.13262338100003</v>
      </c>
      <c r="J9" s="22">
        <f t="shared" si="3"/>
        <v>198.20737964999998</v>
      </c>
      <c r="K9" s="22">
        <f t="shared" si="4"/>
        <v>599.34000303100004</v>
      </c>
      <c r="L9" s="22">
        <f t="shared" si="5"/>
        <v>5.4485454821000001</v>
      </c>
      <c r="M9" s="22">
        <f t="shared" si="6"/>
        <v>4.9945000252583336</v>
      </c>
      <c r="N9" s="39">
        <f t="shared" si="7"/>
        <v>0.66929058856805856</v>
      </c>
      <c r="O9" s="39">
        <f t="shared" si="8"/>
        <v>0.33070941143194138</v>
      </c>
      <c r="P9" s="22" t="str">
        <f t="shared" si="9"/>
        <v>Moderate Carbon Intensity</v>
      </c>
      <c r="Q9" s="22">
        <f t="shared" si="10"/>
        <v>6</v>
      </c>
      <c r="R9" s="15" t="str">
        <f t="shared" si="11"/>
        <v>Monitor + boiler/DHW controls review</v>
      </c>
      <c r="S9" s="22"/>
      <c r="U9" s="15"/>
      <c r="V9" s="15"/>
      <c r="W9" s="15"/>
      <c r="X9" s="15"/>
      <c r="Y9" s="15"/>
      <c r="Z9" s="15"/>
    </row>
    <row r="10" spans="1:26" ht="14.25">
      <c r="A10" s="10" t="s">
        <v>41</v>
      </c>
      <c r="B10" s="22" t="str">
        <f>_xlfn.XLOOKUP(A10,'01_input_asset_master'!A$2:A$11,'01_input_asset_master'!B$2:B$11)</f>
        <v>Capitol Square Homes</v>
      </c>
      <c r="C10" s="22">
        <f>_xlfn.XLOOKUP(A10,'01_input_asset_master'!A$2:A$11,'01_input_asset_master'!H$2:H$11)</f>
        <v>175000</v>
      </c>
      <c r="D10" s="22">
        <f>_xlfn.XLOOKUP(A10,'01_input_asset_master'!A$2:A$11,'01_input_asset_master'!I$2:I$11)</f>
        <v>190</v>
      </c>
      <c r="E10" s="22">
        <f>_xlfn.XLOOKUP(A10,'11_calc_energy_summary'!A$2:A$11,'11_calc_energy_summary'!E$2:E$11)</f>
        <v>1169146</v>
      </c>
      <c r="F10" s="22">
        <f>_xlfn.XLOOKUP(A10,'11_calc_energy_summary'!A$2:A$11,'11_calc_energy_summary'!F$2:F$11)</f>
        <v>42358</v>
      </c>
      <c r="G10" s="22">
        <f t="shared" si="0"/>
        <v>0.527779</v>
      </c>
      <c r="H10" s="22">
        <f t="shared" si="1"/>
        <v>5.3114499999999998</v>
      </c>
      <c r="I10" s="22">
        <f t="shared" si="2"/>
        <v>617.05070673399996</v>
      </c>
      <c r="J10" s="22">
        <f t="shared" si="3"/>
        <v>224.98239909999998</v>
      </c>
      <c r="K10" s="22">
        <f t="shared" si="4"/>
        <v>842.03310583399991</v>
      </c>
      <c r="L10" s="22">
        <f t="shared" si="5"/>
        <v>4.811617747622857</v>
      </c>
      <c r="M10" s="22">
        <f t="shared" si="6"/>
        <v>4.4317531885999992</v>
      </c>
      <c r="N10" s="39">
        <f t="shared" si="7"/>
        <v>0.73281050645014256</v>
      </c>
      <c r="O10" s="39">
        <f t="shared" si="8"/>
        <v>0.26718949354985749</v>
      </c>
      <c r="P10" s="22" t="str">
        <f t="shared" si="9"/>
        <v>Lower Carbon Intensity</v>
      </c>
      <c r="Q10" s="22">
        <f t="shared" si="10"/>
        <v>10</v>
      </c>
      <c r="R10" s="15" t="str">
        <f t="shared" si="11"/>
        <v>Maintain + monitor emissions</v>
      </c>
      <c r="S10" s="22"/>
      <c r="U10" s="15"/>
      <c r="V10" s="15"/>
      <c r="W10" s="15"/>
      <c r="X10" s="15"/>
      <c r="Y10" s="15"/>
      <c r="Z10" s="15"/>
    </row>
    <row r="11" spans="1:26" ht="14.25">
      <c r="A11" s="11" t="s">
        <v>43</v>
      </c>
      <c r="B11" s="22" t="str">
        <f>_xlfn.XLOOKUP(A11,'01_input_asset_master'!A$2:A$11,'01_input_asset_master'!B$2:B$11)</f>
        <v>Harbor Point Apartments</v>
      </c>
      <c r="C11" s="22">
        <f>_xlfn.XLOOKUP(A11,'01_input_asset_master'!A$2:A$11,'01_input_asset_master'!H$2:H$11)</f>
        <v>160000</v>
      </c>
      <c r="D11" s="22">
        <f>_xlfn.XLOOKUP(A11,'01_input_asset_master'!A$2:A$11,'01_input_asset_master'!I$2:I$11)</f>
        <v>175</v>
      </c>
      <c r="E11" s="22">
        <f>_xlfn.XLOOKUP(A11,'11_calc_energy_summary'!A$2:A$11,'11_calc_energy_summary'!E$2:E$11)</f>
        <v>1120844</v>
      </c>
      <c r="F11" s="22">
        <f>_xlfn.XLOOKUP(A11,'11_calc_energy_summary'!A$2:A$11,'11_calc_energy_summary'!F$2:F$11)</f>
        <v>62399</v>
      </c>
      <c r="G11" s="22">
        <f t="shared" si="0"/>
        <v>0.527779</v>
      </c>
      <c r="H11" s="22">
        <f t="shared" si="1"/>
        <v>5.3114499999999998</v>
      </c>
      <c r="I11" s="22">
        <f t="shared" si="2"/>
        <v>591.55792547599992</v>
      </c>
      <c r="J11" s="22">
        <f t="shared" si="3"/>
        <v>331.42916854999999</v>
      </c>
      <c r="K11" s="22">
        <f t="shared" si="4"/>
        <v>922.98709402599991</v>
      </c>
      <c r="L11" s="22">
        <f t="shared" si="5"/>
        <v>5.7686693376624989</v>
      </c>
      <c r="M11" s="22">
        <f t="shared" si="6"/>
        <v>5.2742119658628566</v>
      </c>
      <c r="N11" s="39">
        <f t="shared" si="7"/>
        <v>0.64091678995820944</v>
      </c>
      <c r="O11" s="39">
        <f t="shared" si="8"/>
        <v>0.3590832100417905</v>
      </c>
      <c r="P11" s="22" t="str">
        <f t="shared" si="9"/>
        <v>Moderate Carbon Intensity</v>
      </c>
      <c r="Q11" s="22">
        <f t="shared" si="10"/>
        <v>3</v>
      </c>
      <c r="R11" s="15" t="str">
        <f t="shared" si="11"/>
        <v>Monitor + boiler/DHW controls review</v>
      </c>
      <c r="S11" s="22"/>
      <c r="T11" s="22"/>
      <c r="U11" s="15"/>
      <c r="V11" s="15"/>
      <c r="W11" s="15"/>
      <c r="X11" s="15"/>
      <c r="Y11" s="15"/>
      <c r="Z11" s="15"/>
    </row>
    <row r="12" spans="1:26">
      <c r="G12" s="35"/>
      <c r="H12" s="36"/>
      <c r="U12" s="15"/>
      <c r="V12" s="15"/>
      <c r="W12" s="15"/>
      <c r="X12" s="15"/>
      <c r="Y12" s="15"/>
      <c r="Z12" s="15"/>
    </row>
    <row r="13" spans="1:26">
      <c r="G13" s="35"/>
      <c r="H13" s="36"/>
      <c r="U13" s="15"/>
      <c r="V13" s="15"/>
      <c r="W13" s="15"/>
      <c r="X13" s="15"/>
      <c r="Y13" s="15"/>
      <c r="Z13" s="15"/>
    </row>
    <row r="14" spans="1:26">
      <c r="G14" s="35"/>
      <c r="H14" s="36"/>
      <c r="U14" s="15"/>
      <c r="V14" s="15"/>
      <c r="W14" s="15"/>
      <c r="X14" s="15"/>
      <c r="Y14" s="15"/>
      <c r="Z14" s="15"/>
    </row>
    <row r="15" spans="1:26">
      <c r="G15" s="35"/>
      <c r="H15" s="36"/>
      <c r="U15" s="15"/>
      <c r="V15" s="15"/>
      <c r="W15" s="15"/>
      <c r="X15" s="15"/>
      <c r="Y15" s="15"/>
      <c r="Z15" s="15"/>
    </row>
    <row r="16" spans="1:26">
      <c r="G16" s="35"/>
      <c r="H16" s="36"/>
    </row>
    <row r="17" spans="7:8">
      <c r="G17" s="35"/>
      <c r="H17" s="36"/>
    </row>
    <row r="18" spans="7:8">
      <c r="G18" s="35"/>
      <c r="H18" s="36"/>
    </row>
    <row r="19" spans="7:8">
      <c r="G19" s="35"/>
      <c r="H19" s="36"/>
    </row>
    <row r="20" spans="7:8">
      <c r="G20" s="35"/>
      <c r="H20" s="36"/>
    </row>
    <row r="21" spans="7:8">
      <c r="G21" s="35"/>
      <c r="H21" s="36"/>
    </row>
    <row r="22" spans="7:8">
      <c r="G22" s="35"/>
      <c r="H22" s="36"/>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1"/>
  <sheetViews>
    <sheetView workbookViewId="0"/>
  </sheetViews>
  <sheetFormatPr defaultRowHeight="14.25"/>
  <cols>
    <col min="1" max="26" width="18" customWidth="1"/>
  </cols>
  <sheetData>
    <row r="1" spans="1:11" ht="15">
      <c r="A1" s="1" t="s">
        <v>182</v>
      </c>
      <c r="B1" s="1" t="s">
        <v>183</v>
      </c>
      <c r="C1" s="1" t="s">
        <v>5</v>
      </c>
      <c r="D1" s="1" t="s">
        <v>184</v>
      </c>
      <c r="E1" s="1" t="s">
        <v>185</v>
      </c>
      <c r="F1" s="1" t="s">
        <v>186</v>
      </c>
      <c r="G1" s="1" t="s">
        <v>98</v>
      </c>
      <c r="H1" s="1" t="s">
        <v>99</v>
      </c>
      <c r="I1" s="1" t="s">
        <v>110</v>
      </c>
      <c r="J1" s="1" t="s">
        <v>187</v>
      </c>
      <c r="K1" s="1" t="s">
        <v>75</v>
      </c>
    </row>
    <row r="2" spans="1:11" ht="114">
      <c r="A2" s="3" t="s">
        <v>188</v>
      </c>
      <c r="B2" s="3" t="s">
        <v>189</v>
      </c>
      <c r="C2" s="3" t="s">
        <v>190</v>
      </c>
      <c r="D2" s="3" t="s">
        <v>191</v>
      </c>
      <c r="E2" s="3" t="s">
        <v>192</v>
      </c>
      <c r="F2" s="3" t="s">
        <v>193</v>
      </c>
      <c r="G2" s="3" t="s">
        <v>194</v>
      </c>
      <c r="H2" s="3" t="s">
        <v>195</v>
      </c>
      <c r="I2" s="3" t="s">
        <v>196</v>
      </c>
      <c r="J2" s="3" t="s">
        <v>197</v>
      </c>
      <c r="K2" s="3" t="s">
        <v>198</v>
      </c>
    </row>
    <row r="3" spans="1:11" ht="85.5">
      <c r="A3" s="3" t="s">
        <v>199</v>
      </c>
      <c r="B3" s="3" t="s">
        <v>189</v>
      </c>
      <c r="C3" s="3" t="s">
        <v>190</v>
      </c>
      <c r="D3" s="3" t="s">
        <v>200</v>
      </c>
      <c r="E3" s="3" t="s">
        <v>201</v>
      </c>
      <c r="F3" s="3" t="s">
        <v>193</v>
      </c>
      <c r="G3" s="3" t="s">
        <v>194</v>
      </c>
      <c r="H3" s="3" t="s">
        <v>195</v>
      </c>
      <c r="I3" s="3" t="s">
        <v>196</v>
      </c>
      <c r="J3" s="3" t="s">
        <v>202</v>
      </c>
      <c r="K3" s="3" t="s">
        <v>198</v>
      </c>
    </row>
    <row r="4" spans="1:11" ht="85.5">
      <c r="A4" s="3" t="s">
        <v>203</v>
      </c>
      <c r="B4" s="3" t="s">
        <v>204</v>
      </c>
      <c r="C4" s="3" t="s">
        <v>190</v>
      </c>
      <c r="D4" s="3" t="s">
        <v>205</v>
      </c>
      <c r="E4" s="3"/>
      <c r="F4" s="3" t="s">
        <v>206</v>
      </c>
      <c r="G4" s="3" t="s">
        <v>207</v>
      </c>
      <c r="H4" s="3" t="s">
        <v>195</v>
      </c>
      <c r="I4" s="3" t="s">
        <v>196</v>
      </c>
      <c r="J4" s="3" t="s">
        <v>208</v>
      </c>
      <c r="K4" s="3" t="s">
        <v>209</v>
      </c>
    </row>
    <row r="5" spans="1:11" ht="71.25">
      <c r="A5" s="3" t="s">
        <v>210</v>
      </c>
      <c r="B5" s="3" t="s">
        <v>211</v>
      </c>
      <c r="C5" s="3" t="s">
        <v>190</v>
      </c>
      <c r="D5" s="3" t="s">
        <v>212</v>
      </c>
      <c r="E5" s="3" t="s">
        <v>213</v>
      </c>
      <c r="F5" s="3" t="s">
        <v>193</v>
      </c>
      <c r="G5" s="3" t="s">
        <v>214</v>
      </c>
      <c r="H5" s="3" t="s">
        <v>215</v>
      </c>
      <c r="I5" s="3" t="s">
        <v>196</v>
      </c>
      <c r="J5" s="3" t="s">
        <v>216</v>
      </c>
      <c r="K5" s="3" t="s">
        <v>217</v>
      </c>
    </row>
    <row r="6" spans="1:11" ht="71.25">
      <c r="A6" s="3" t="s">
        <v>218</v>
      </c>
      <c r="B6" s="3" t="s">
        <v>219</v>
      </c>
      <c r="C6" s="3" t="s">
        <v>190</v>
      </c>
      <c r="D6" s="3" t="s">
        <v>220</v>
      </c>
      <c r="E6" s="3" t="s">
        <v>221</v>
      </c>
      <c r="F6" s="3" t="s">
        <v>193</v>
      </c>
      <c r="G6" s="3" t="s">
        <v>222</v>
      </c>
      <c r="H6" s="3" t="s">
        <v>215</v>
      </c>
      <c r="I6" s="3" t="s">
        <v>196</v>
      </c>
      <c r="J6" s="3" t="s">
        <v>223</v>
      </c>
      <c r="K6" s="3" t="s">
        <v>224</v>
      </c>
    </row>
    <row r="7" spans="1:11" ht="85.5">
      <c r="A7" s="3" t="s">
        <v>225</v>
      </c>
      <c r="B7" s="3" t="s">
        <v>226</v>
      </c>
      <c r="C7" s="3" t="s">
        <v>227</v>
      </c>
      <c r="D7" s="3" t="s">
        <v>228</v>
      </c>
      <c r="E7" s="3" t="s">
        <v>229</v>
      </c>
      <c r="F7" s="3" t="s">
        <v>230</v>
      </c>
      <c r="G7" s="3" t="s">
        <v>231</v>
      </c>
      <c r="H7" s="3" t="s">
        <v>215</v>
      </c>
      <c r="I7" s="3" t="s">
        <v>232</v>
      </c>
      <c r="J7" s="3" t="s">
        <v>233</v>
      </c>
      <c r="K7" s="3" t="s">
        <v>234</v>
      </c>
    </row>
    <row r="8" spans="1:11" ht="85.5">
      <c r="A8" s="3" t="s">
        <v>235</v>
      </c>
      <c r="B8" s="3" t="s">
        <v>226</v>
      </c>
      <c r="C8" s="3" t="s">
        <v>227</v>
      </c>
      <c r="D8" s="3" t="s">
        <v>236</v>
      </c>
      <c r="E8" s="3" t="s">
        <v>237</v>
      </c>
      <c r="F8" s="3" t="s">
        <v>238</v>
      </c>
      <c r="G8" s="3" t="s">
        <v>231</v>
      </c>
      <c r="H8" s="3" t="s">
        <v>215</v>
      </c>
      <c r="I8" s="3" t="s">
        <v>232</v>
      </c>
      <c r="J8" s="3" t="s">
        <v>239</v>
      </c>
      <c r="K8" s="3" t="s">
        <v>240</v>
      </c>
    </row>
    <row r="9" spans="1:11" ht="99.75">
      <c r="A9" s="3" t="s">
        <v>241</v>
      </c>
      <c r="B9" s="3" t="s">
        <v>242</v>
      </c>
      <c r="C9" s="3" t="s">
        <v>190</v>
      </c>
      <c r="D9" s="3" t="s">
        <v>243</v>
      </c>
      <c r="E9" s="3" t="s">
        <v>244</v>
      </c>
      <c r="F9" s="3" t="s">
        <v>245</v>
      </c>
      <c r="G9" s="3" t="s">
        <v>246</v>
      </c>
      <c r="H9" s="3" t="s">
        <v>215</v>
      </c>
      <c r="I9" s="3" t="s">
        <v>247</v>
      </c>
      <c r="J9" s="3" t="s">
        <v>248</v>
      </c>
      <c r="K9" s="3" t="s">
        <v>249</v>
      </c>
    </row>
    <row r="10" spans="1:11" ht="85.5">
      <c r="A10" s="3" t="s">
        <v>250</v>
      </c>
      <c r="B10" s="3" t="s">
        <v>251</v>
      </c>
      <c r="C10" s="3" t="s">
        <v>190</v>
      </c>
      <c r="D10" s="3" t="s">
        <v>252</v>
      </c>
      <c r="E10" s="3" t="s">
        <v>253</v>
      </c>
      <c r="F10" s="3" t="s">
        <v>254</v>
      </c>
      <c r="G10" s="3" t="s">
        <v>246</v>
      </c>
      <c r="H10" s="3" t="s">
        <v>215</v>
      </c>
      <c r="I10" s="3" t="s">
        <v>255</v>
      </c>
      <c r="J10" s="3" t="s">
        <v>256</v>
      </c>
      <c r="K10" s="3" t="s">
        <v>257</v>
      </c>
    </row>
    <row r="11" spans="1:11" ht="71.25">
      <c r="A11" s="3" t="s">
        <v>258</v>
      </c>
      <c r="B11" s="3" t="s">
        <v>259</v>
      </c>
      <c r="C11" s="3" t="s">
        <v>190</v>
      </c>
      <c r="D11" s="3" t="s">
        <v>260</v>
      </c>
      <c r="E11" s="3" t="s">
        <v>261</v>
      </c>
      <c r="F11" s="3" t="s">
        <v>262</v>
      </c>
      <c r="G11" s="3" t="s">
        <v>263</v>
      </c>
      <c r="H11" s="3" t="s">
        <v>215</v>
      </c>
      <c r="I11" s="3" t="s">
        <v>264</v>
      </c>
      <c r="J11" s="3" t="s">
        <v>265</v>
      </c>
      <c r="K11" s="3" t="s">
        <v>266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5120D-A2F6-4647-9708-575904AAA4D5}">
  <dimension ref="A1:AP11"/>
  <sheetViews>
    <sheetView workbookViewId="0">
      <selection activeCell="I24" sqref="I24"/>
    </sheetView>
  </sheetViews>
  <sheetFormatPr defaultRowHeight="15"/>
  <cols>
    <col min="1" max="1" width="13.625" style="38" customWidth="1"/>
    <col min="2" max="2" width="14.75" style="38" customWidth="1"/>
    <col min="3" max="3" width="19.5" style="38" customWidth="1"/>
    <col min="4" max="4" width="13.625" style="38" customWidth="1"/>
    <col min="5" max="5" width="17.25" style="38" customWidth="1"/>
    <col min="6" max="6" width="25.625" style="38" customWidth="1"/>
    <col min="7" max="7" width="19.625" style="38" customWidth="1"/>
    <col min="8" max="8" width="19" style="38" customWidth="1"/>
    <col min="9" max="9" width="19.75" style="38" customWidth="1"/>
    <col min="10" max="10" width="17.875" style="38" customWidth="1"/>
    <col min="11" max="11" width="18.75" style="38" customWidth="1"/>
    <col min="12" max="12" width="21.875" style="38" customWidth="1"/>
    <col min="13" max="13" width="22.25" style="38" customWidth="1"/>
    <col min="14" max="14" width="19.125" style="38" customWidth="1"/>
    <col min="15" max="15" width="19.5" style="38" customWidth="1"/>
    <col min="16" max="16" width="22" style="38" customWidth="1"/>
    <col min="17" max="17" width="24.625" style="38" customWidth="1"/>
    <col min="18" max="18" width="32.625" style="38" customWidth="1"/>
    <col min="19" max="19" width="28.375" style="38" customWidth="1"/>
    <col min="20" max="20" width="23.125" style="38" customWidth="1"/>
    <col min="21" max="21" width="22.625" style="38" customWidth="1"/>
    <col min="22" max="22" width="18.875" style="38" customWidth="1"/>
    <col min="23" max="23" width="23.5" style="38" customWidth="1"/>
    <col min="24" max="24" width="22.625" style="38" customWidth="1"/>
    <col min="25" max="25" width="22.75" style="38" customWidth="1"/>
    <col min="26" max="26" width="22.5" style="38" customWidth="1"/>
    <col min="27" max="27" width="21.75" style="38" customWidth="1"/>
    <col min="28" max="28" width="18.5" style="38" customWidth="1"/>
    <col min="29" max="29" width="31.875" style="38" customWidth="1"/>
    <col min="30" max="30" width="29.25" customWidth="1"/>
    <col min="31" max="31" width="16.125" customWidth="1"/>
  </cols>
  <sheetData>
    <row r="1" spans="1:42">
      <c r="A1" s="42" t="s">
        <v>0</v>
      </c>
      <c r="B1" s="42" t="s">
        <v>1</v>
      </c>
      <c r="C1" s="42" t="s">
        <v>7</v>
      </c>
      <c r="D1" s="42" t="s">
        <v>8</v>
      </c>
      <c r="E1" s="42" t="s">
        <v>1054</v>
      </c>
      <c r="F1" s="42" t="s">
        <v>1063</v>
      </c>
      <c r="G1" s="42" t="s">
        <v>1057</v>
      </c>
      <c r="H1" s="42" t="s">
        <v>1067</v>
      </c>
      <c r="I1" s="42" t="s">
        <v>1070</v>
      </c>
      <c r="J1" s="42" t="s">
        <v>1075</v>
      </c>
      <c r="K1" s="42" t="s">
        <v>1076</v>
      </c>
      <c r="L1" s="42" t="s">
        <v>1080</v>
      </c>
      <c r="M1" s="42" t="s">
        <v>1091</v>
      </c>
      <c r="N1" s="42" t="s">
        <v>1095</v>
      </c>
      <c r="O1" s="42" t="s">
        <v>1094</v>
      </c>
      <c r="P1" s="42" t="s">
        <v>1101</v>
      </c>
      <c r="Q1" s="42" t="s">
        <v>1102</v>
      </c>
      <c r="R1" s="42" t="s">
        <v>1111</v>
      </c>
      <c r="S1" s="42" t="s">
        <v>1112</v>
      </c>
      <c r="T1" s="42" t="s">
        <v>1113</v>
      </c>
      <c r="U1" s="42" t="s">
        <v>1116</v>
      </c>
      <c r="V1" s="42" t="s">
        <v>1117</v>
      </c>
      <c r="W1" s="42" t="s">
        <v>1060</v>
      </c>
      <c r="X1" s="42" t="s">
        <v>1079</v>
      </c>
      <c r="Y1" s="42" t="s">
        <v>1100</v>
      </c>
      <c r="Z1" s="42" t="s">
        <v>1119</v>
      </c>
      <c r="AA1" s="42" t="s">
        <v>1120</v>
      </c>
      <c r="AB1" s="42" t="s">
        <v>1121</v>
      </c>
      <c r="AC1" s="42" t="s">
        <v>1122</v>
      </c>
      <c r="AD1" s="42" t="s">
        <v>1123</v>
      </c>
      <c r="AE1" s="42" t="s">
        <v>1124</v>
      </c>
    </row>
    <row r="2" spans="1:42" ht="28.5">
      <c r="A2" s="22" t="s">
        <v>17</v>
      </c>
      <c r="B2" s="15" t="str">
        <f>_xlfn.XLOOKUP(A2,'01_input_asset_master'!A$2:A$11,'01_input_asset_master'!B$2:B$11)</f>
        <v>Lakeview Terrace</v>
      </c>
      <c r="C2" s="31">
        <f>_xlfn.XLOOKUP(A2,'01_input_asset_master'!A$2:A$11,'01_input_asset_master'!H$2:H$11)</f>
        <v>220000</v>
      </c>
      <c r="D2" s="40">
        <f>_xlfn.XLOOKUP(A2,'01_input_asset_master'!A$2:A$11,'01_input_asset_master'!I$2:I$11)</f>
        <v>240</v>
      </c>
      <c r="E2" s="22">
        <f>_xlfn.XLOOKUP($A2,'11_calc_energy_summary'!$A$2:$A$11,'11_calc_energy_summary'!$M$2:$M$11)</f>
        <v>66.200523545454544</v>
      </c>
      <c r="F2" s="22" t="str">
        <f>_xlfn.XLOOKUP($A2,'11_calc_energy_summary'!$A$2:$A$11,'11_calc_energy_summary'!$V$2:$V$11)</f>
        <v>Above Benchmark</v>
      </c>
      <c r="G2" s="31">
        <f>_xlfn.XLOOKUP(A2,'11_calc_energy_summary'!A$2:A$11,'11_calc_energy_summary'!P$2:P$11)</f>
        <v>1393.8331666666668</v>
      </c>
      <c r="H2" s="22">
        <f t="shared" ref="H2:H11" si="0">_xlfn.RANK.EQ(E2,$E$2:$E$11,0)</f>
        <v>2</v>
      </c>
      <c r="I2" s="22">
        <f>_xlfn.XLOOKUP(A2,'12_calc_water_summary'!A$2:A$11,'12_calc_water_summary'!E$2:E$11)</f>
        <v>79558.5</v>
      </c>
      <c r="J2" s="22">
        <f>_xlfn.XLOOKUP($A2,'12_calc_water_summary'!$A$2:$A$11,'12_calc_water_summary'!$J$2:$J$11)</f>
        <v>331.49374999999998</v>
      </c>
      <c r="K2" s="41">
        <f>_xlfn.XLOOKUP(A2,'12_calc_water_summary'!A$2:A$11,'12_calc_water_summary'!K$2:K$11)</f>
        <v>805.05616666666651</v>
      </c>
      <c r="L2" s="22" t="str">
        <f>_xlfn.XLOOKUP($A2,'12_calc_water_summary'!$A$2:$A$11,'12_calc_water_summary'!$O$2:$O$11)</f>
        <v>Efficient/Low</v>
      </c>
      <c r="M2" s="22">
        <f>_xlfn.XLOOKUP(A2,'13_calc_waste_summary'!A$2:A$11,'13_calc_waste_summary'!H$2:H$11)</f>
        <v>199.95000000000002</v>
      </c>
      <c r="N2" s="22">
        <f>_xlfn.XLOOKUP($A2,'13_calc_waste_summary'!$A$2:$A$11,'13_calc_waste_summary'!$L$2:$L$11)</f>
        <v>0.83312500000000012</v>
      </c>
      <c r="O2" s="27">
        <f>_xlfn.XLOOKUP($A2,'13_calc_waste_summary'!$A$2:$A$11,'13_calc_waste_summary'!$K$2:$K$11)</f>
        <v>0.18344586146536632</v>
      </c>
      <c r="P2" s="22" t="str">
        <f>_xlfn.XLOOKUP(A2,'13_calc_waste_summary'!A$2:A$11,'13_calc_waste_summary'!R$2:R$11)</f>
        <v>High Waste</v>
      </c>
      <c r="Q2" s="22" t="str">
        <f>_xlfn.XLOOKUP(A2,'13_calc_waste_summary'!A$2:A$11,'13_calc_waste_summary'!S$2:S$11)</f>
        <v>Weak Diversion</v>
      </c>
      <c r="R2" s="41">
        <f>_xlfn.XLOOKUP(A2,'14_calc_emissions_summary'!A$2:A$11,'14_calc_emissions_summary'!K$2:K$11)</f>
        <v>1335.6787667849999</v>
      </c>
      <c r="S2" s="41">
        <f>_xlfn.XLOOKUP($A2,'14_calc_emissions_summary'!$A$2:$A$11,'14_calc_emissions_summary'!$L$2:$L$11)</f>
        <v>6.0712671217500001</v>
      </c>
      <c r="T2" s="41">
        <f>_xlfn.XLOOKUP(A2,'14_calc_emissions_summary'!A$2:A$11,'14_calc_emissions_summary'!M$2:M$11)</f>
        <v>5.5653281949374991</v>
      </c>
      <c r="U2" s="15" t="str">
        <f>_xlfn.XLOOKUP($A2,'14_calc_emissions_summary'!$A$2:$A$11,'14_calc_emissions_summary'!$P$2:$P$11)</f>
        <v>High Carbon Intensity</v>
      </c>
      <c r="V2" s="24">
        <f>_xlfn.XLOOKUP(A2,'14_calc_emissions_summary'!A$2:A$11,'14_calc_emissions_summary'!Q$2:Q$11)</f>
        <v>2</v>
      </c>
      <c r="W2" s="27">
        <f>_xlfn.XLOOKUP($A2,'11_calc_energy_summary'!$A$2:$A$11,'11_calc_energy_summary'!$S$2:$S$11)</f>
        <v>1</v>
      </c>
      <c r="X2" s="27">
        <f>_xlfn.XLOOKUP(A2,'12_calc_water_summary'!A$2:A$11,'12_calc_water_summary'!N$2:N$11)</f>
        <v>1</v>
      </c>
      <c r="Y2" s="27">
        <f>_xlfn.XLOOKUP(A2,'13_calc_waste_summary'!A$2:A$11,'13_calc_waste_summary'!Q$2:Q$11)</f>
        <v>1</v>
      </c>
      <c r="Z2" s="24">
        <f t="shared" ref="Z2:Z11" si="1">IF(F2="High Energy Use",3,IF(F2="Above Benchmark",2,1))+IF(L2="High Water Use",3,IF(L2="Moderate",2,1))+IF(P2="High Waste",3,IF(P2="Moderate",2,1))+IF(U2="High Carbon Intensity",3,IF(U2="Moderate Carbon Intensity",2,1))+IF(Q2="Weak Diversion",1,0)+IF(MIN(W2:Y2)&lt;0.95,1,0)</f>
        <v>10</v>
      </c>
      <c r="AA2" s="24">
        <f t="shared" ref="AA2:AA11" si="2">_xlfn.RANK.EQ(Z2,$Z$2:$Z$11,0)</f>
        <v>1</v>
      </c>
      <c r="AB2" s="15" t="str">
        <f t="shared" ref="AB2:AB11" si="3">IF(Z2&gt;=10,"High Portfolio Priority",IF(Z2&gt;=8,"Medium Portfolio Priority","Lower Portfolio Priority"))</f>
        <v>High Portfolio Priority</v>
      </c>
      <c r="AC2" s="15" t="str">
        <f t="shared" ref="AC2:AC11" si="4">IF(AND(F2="Above Benchmark",U2="High Carbon Intensity",P2="High Waste",Q2="Weak Diversion"),"Comprehensive audit: energy, carbon, and waste/diversion",IF(AND(F2="Above Benchmark",U2="High Carbon Intensity"),"Energy and carbon retrofit focus",IF(AND(P2="High Waste",Q2="Weak Diversion"),"Waste audit + recycling/diversion program",IF(L2="High Water Use","Water audit + leak detection + fixture review","Maintain performance + monitor KPIs"))))</f>
        <v>Comprehensive audit: energy, carbon, and waste/diversion</v>
      </c>
      <c r="AD2">
        <f t="shared" ref="AD2:AD11" si="5">IF(OR(F2="Above Benchmark",F2="High Energy Use"),1,0)+IF(L2="High Water Use",1,0)+IF(P2="High Waste",1,0)+IF(Q2="Weak Diversion",1,0)+IF(U2="High Carbon Intensity",1,0)</f>
        <v>4</v>
      </c>
      <c r="AE2" t="str">
        <f>IF(AND(F2="Above Benchmark",U2="High Carbon Intensity"),"Energy + Carbon",IF(AND(P2="High Waste",Q2="Weak Diversion"),"Waste + Diversion",IF(F2="Above Benchmark","Energy",IF(U2="High Carbon Intensity","Carbon",IF(L2="High Water Use","Water","Monitor")))))</f>
        <v>Energy + Carbon</v>
      </c>
    </row>
    <row r="3" spans="1:42" ht="28.5">
      <c r="A3" s="22" t="s">
        <v>31</v>
      </c>
      <c r="B3" s="15" t="str">
        <f>_xlfn.XLOOKUP(A3,'01_input_asset_master'!A$2:A$11,'01_input_asset_master'!B$2:B$11)</f>
        <v>South Park Apartments</v>
      </c>
      <c r="C3" s="31">
        <f>_xlfn.XLOOKUP(A3,'01_input_asset_master'!A$2:A$11,'01_input_asset_master'!H$2:H$11)</f>
        <v>185000</v>
      </c>
      <c r="D3" s="40">
        <f>_xlfn.XLOOKUP(A3,'01_input_asset_master'!A$2:A$11,'01_input_asset_master'!I$2:I$11)</f>
        <v>210</v>
      </c>
      <c r="E3" s="22">
        <f>_xlfn.XLOOKUP($A3,'11_calc_energy_summary'!$A$2:$A$11,'11_calc_energy_summary'!$M$2:$M$11)</f>
        <v>67.700631956756766</v>
      </c>
      <c r="F3" s="22" t="str">
        <f>_xlfn.XLOOKUP($A3,'11_calc_energy_summary'!$A$2:$A$11,'11_calc_energy_summary'!$V$2:$V$11)</f>
        <v>Above Benchmark</v>
      </c>
      <c r="G3" s="31">
        <f>_xlfn.XLOOKUP(A3,'11_calc_energy_summary'!A$2:A$11,'11_calc_energy_summary'!P$2:P$11)</f>
        <v>1369.8824285714286</v>
      </c>
      <c r="H3" s="22">
        <f t="shared" si="0"/>
        <v>1</v>
      </c>
      <c r="I3" s="22">
        <f>_xlfn.XLOOKUP(A3,'12_calc_water_summary'!A$2:A$11,'12_calc_water_summary'!E$2:E$11)</f>
        <v>66315.92</v>
      </c>
      <c r="J3" s="22">
        <f>_xlfn.XLOOKUP($A3,'12_calc_water_summary'!$A$2:$A$11,'12_calc_water_summary'!$J$2:$J$11)</f>
        <v>315.7900952380952</v>
      </c>
      <c r="K3" s="41">
        <f>_xlfn.XLOOKUP(A3,'12_calc_water_summary'!A$2:A$11,'12_calc_water_summary'!K$2:K$11)</f>
        <v>766.91895238095242</v>
      </c>
      <c r="L3" s="22" t="str">
        <f>_xlfn.XLOOKUP($A3,'12_calc_water_summary'!$A$2:$A$11,'12_calc_water_summary'!$O$2:$O$11)</f>
        <v>Efficient/Low</v>
      </c>
      <c r="M3" s="22">
        <f>_xlfn.XLOOKUP(A3,'13_calc_waste_summary'!A$2:A$11,'13_calc_waste_summary'!H$2:H$11)</f>
        <v>179.08999999999997</v>
      </c>
      <c r="N3" s="22">
        <f>_xlfn.XLOOKUP($A3,'13_calc_waste_summary'!$A$2:$A$11,'13_calc_waste_summary'!$L$2:$L$11)</f>
        <v>0.85280952380952368</v>
      </c>
      <c r="O3" s="27">
        <f>_xlfn.XLOOKUP($A3,'13_calc_waste_summary'!$A$2:$A$11,'13_calc_waste_summary'!$K$2:$K$11)</f>
        <v>0.21067619632586967</v>
      </c>
      <c r="P3" s="22" t="str">
        <f>_xlfn.XLOOKUP(A3,'13_calc_waste_summary'!A$2:A$11,'13_calc_waste_summary'!R$2:R$11)</f>
        <v>High Waste</v>
      </c>
      <c r="Q3" s="22" t="str">
        <f>_xlfn.XLOOKUP(A3,'13_calc_waste_summary'!A$2:A$11,'13_calc_waste_summary'!S$2:S$11)</f>
        <v>Weak Diversion</v>
      </c>
      <c r="R3" s="41">
        <f>_xlfn.XLOOKUP(A3,'14_calc_emissions_summary'!A$2:A$11,'14_calc_emissions_summary'!K$2:K$11)</f>
        <v>1148.6362872539999</v>
      </c>
      <c r="S3" s="41">
        <f>_xlfn.XLOOKUP($A3,'14_calc_emissions_summary'!$A$2:$A$11,'14_calc_emissions_summary'!$L$2:$L$11)</f>
        <v>6.2088447959675666</v>
      </c>
      <c r="T3" s="41">
        <f>_xlfn.XLOOKUP(A3,'14_calc_emissions_summary'!A$2:A$11,'14_calc_emissions_summary'!M$2:M$11)</f>
        <v>5.4696966059714276</v>
      </c>
      <c r="U3" s="15" t="str">
        <f>_xlfn.XLOOKUP($A3,'14_calc_emissions_summary'!$A$2:$A$11,'14_calc_emissions_summary'!$P$2:$P$11)</f>
        <v>High Carbon Intensity</v>
      </c>
      <c r="V3" s="24">
        <f>_xlfn.XLOOKUP(A3,'14_calc_emissions_summary'!A$2:A$11,'14_calc_emissions_summary'!Q$2:Q$11)</f>
        <v>1</v>
      </c>
      <c r="W3" s="27">
        <f>_xlfn.XLOOKUP($A3,'11_calc_energy_summary'!$A$2:$A$11,'11_calc_energy_summary'!$S$2:$S$11)</f>
        <v>1</v>
      </c>
      <c r="X3" s="27">
        <f>_xlfn.XLOOKUP(A3,'12_calc_water_summary'!A$2:A$11,'12_calc_water_summary'!N$2:N$11)</f>
        <v>1</v>
      </c>
      <c r="Y3" s="27">
        <f>_xlfn.XLOOKUP(A3,'13_calc_waste_summary'!A$2:A$11,'13_calc_waste_summary'!Q$2:Q$11)</f>
        <v>1</v>
      </c>
      <c r="Z3" s="24">
        <f t="shared" si="1"/>
        <v>10</v>
      </c>
      <c r="AA3" s="24">
        <f t="shared" si="2"/>
        <v>1</v>
      </c>
      <c r="AB3" s="15" t="str">
        <f t="shared" si="3"/>
        <v>High Portfolio Priority</v>
      </c>
      <c r="AC3" s="15" t="str">
        <f t="shared" si="4"/>
        <v>Comprehensive audit: energy, carbon, and waste/diversion</v>
      </c>
      <c r="AD3">
        <f t="shared" si="5"/>
        <v>4</v>
      </c>
      <c r="AE3" t="str">
        <f t="shared" ref="AE3:AE11" si="6">IF(AND(F3="Above Benchmark",U3="High Carbon Intensity"),"Energy + Carbon",IF(AND(P3="High Waste",Q3="Weak Diversion"),"Waste + Diversion",IF(F3="Above Benchmark","Energy",IF(U3="High Carbon Intensity","Carbon",IF(L3="High Water Use","Water","Monitor")))))</f>
        <v>Energy + Carbon</v>
      </c>
      <c r="AI3" s="50" t="s">
        <v>1131</v>
      </c>
      <c r="AJ3" s="50"/>
      <c r="AK3" s="50"/>
      <c r="AL3" s="50"/>
      <c r="AM3" s="50"/>
      <c r="AN3" s="50"/>
      <c r="AO3" s="50"/>
      <c r="AP3" s="50"/>
    </row>
    <row r="4" spans="1:42" ht="28.5">
      <c r="A4" s="22" t="s">
        <v>43</v>
      </c>
      <c r="B4" s="15" t="str">
        <f>_xlfn.XLOOKUP(A4,'01_input_asset_master'!A$2:A$11,'01_input_asset_master'!B$2:B$11)</f>
        <v>Harbor Point Apartments</v>
      </c>
      <c r="C4" s="31">
        <f>_xlfn.XLOOKUP(A4,'01_input_asset_master'!A$2:A$11,'01_input_asset_master'!H$2:H$11)</f>
        <v>160000</v>
      </c>
      <c r="D4" s="40">
        <f>_xlfn.XLOOKUP(A4,'01_input_asset_master'!A$2:A$11,'01_input_asset_master'!I$2:I$11)</f>
        <v>175</v>
      </c>
      <c r="E4" s="22">
        <f>_xlfn.XLOOKUP($A4,'11_calc_energy_summary'!$A$2:$A$11,'11_calc_energy_summary'!$M$2:$M$11)</f>
        <v>62.901373300000003</v>
      </c>
      <c r="F4" s="22" t="str">
        <f>_xlfn.XLOOKUP($A4,'11_calc_energy_summary'!$A$2:$A$11,'11_calc_energy_summary'!$V$2:$V$11)</f>
        <v>Above Benchmark</v>
      </c>
      <c r="G4" s="31">
        <f>_xlfn.XLOOKUP(A4,'11_calc_energy_summary'!A$2:A$11,'11_calc_energy_summary'!P$2:P$11)</f>
        <v>1320.9214285714286</v>
      </c>
      <c r="H4" s="22">
        <f t="shared" si="0"/>
        <v>3</v>
      </c>
      <c r="I4" s="22">
        <f>_xlfn.XLOOKUP(A4,'12_calc_water_summary'!A$2:A$11,'12_calc_water_summary'!E$2:E$11)</f>
        <v>53206.6</v>
      </c>
      <c r="J4" s="22">
        <f>_xlfn.XLOOKUP($A4,'12_calc_water_summary'!$A$2:$A$11,'12_calc_water_summary'!$J$2:$J$11)</f>
        <v>304.03771428571429</v>
      </c>
      <c r="K4" s="41">
        <f>_xlfn.XLOOKUP(A4,'12_calc_water_summary'!A$2:A$11,'12_calc_water_summary'!K$2:K$11)</f>
        <v>738.37725714285705</v>
      </c>
      <c r="L4" s="22" t="str">
        <f>_xlfn.XLOOKUP($A4,'12_calc_water_summary'!$A$2:$A$11,'12_calc_water_summary'!$O$2:$O$11)</f>
        <v>Efficient/Low</v>
      </c>
      <c r="M4" s="22">
        <f>_xlfn.XLOOKUP(A4,'13_calc_waste_summary'!A$2:A$11,'13_calc_waste_summary'!H$2:H$11)</f>
        <v>141.57000000000002</v>
      </c>
      <c r="N4" s="22">
        <f>_xlfn.XLOOKUP($A4,'13_calc_waste_summary'!$A$2:$A$11,'13_calc_waste_summary'!$L$2:$L$11)</f>
        <v>0.80897142857142867</v>
      </c>
      <c r="O4" s="27">
        <f>_xlfn.XLOOKUP($A4,'13_calc_waste_summary'!$A$2:$A$11,'13_calc_waste_summary'!$K$2:$K$11)</f>
        <v>0.20745920745920743</v>
      </c>
      <c r="P4" s="22" t="str">
        <f>_xlfn.XLOOKUP(A4,'13_calc_waste_summary'!A$2:A$11,'13_calc_waste_summary'!R$2:R$11)</f>
        <v>High Waste</v>
      </c>
      <c r="Q4" s="22" t="str">
        <f>_xlfn.XLOOKUP(A4,'13_calc_waste_summary'!A$2:A$11,'13_calc_waste_summary'!S$2:S$11)</f>
        <v>Weak Diversion</v>
      </c>
      <c r="R4" s="41">
        <f>_xlfn.XLOOKUP(A4,'14_calc_emissions_summary'!A$2:A$11,'14_calc_emissions_summary'!K$2:K$11)</f>
        <v>922.98709402599991</v>
      </c>
      <c r="S4" s="41">
        <f>_xlfn.XLOOKUP($A4,'14_calc_emissions_summary'!$A$2:$A$11,'14_calc_emissions_summary'!$L$2:$L$11)</f>
        <v>5.7686693376624989</v>
      </c>
      <c r="T4" s="41">
        <f>_xlfn.XLOOKUP(A4,'14_calc_emissions_summary'!A$2:A$11,'14_calc_emissions_summary'!M$2:M$11)</f>
        <v>5.2742119658628566</v>
      </c>
      <c r="U4" s="15" t="str">
        <f>_xlfn.XLOOKUP($A4,'14_calc_emissions_summary'!$A$2:$A$11,'14_calc_emissions_summary'!$P$2:$P$11)</f>
        <v>Moderate Carbon Intensity</v>
      </c>
      <c r="V4" s="24">
        <f>_xlfn.XLOOKUP(A4,'14_calc_emissions_summary'!A$2:A$11,'14_calc_emissions_summary'!Q$2:Q$11)</f>
        <v>3</v>
      </c>
      <c r="W4" s="27">
        <f>_xlfn.XLOOKUP($A4,'11_calc_energy_summary'!$A$2:$A$11,'11_calc_energy_summary'!$S$2:$S$11)</f>
        <v>1</v>
      </c>
      <c r="X4" s="27">
        <f>_xlfn.XLOOKUP(A4,'12_calc_water_summary'!A$2:A$11,'12_calc_water_summary'!N$2:N$11)</f>
        <v>1</v>
      </c>
      <c r="Y4" s="27">
        <f>_xlfn.XLOOKUP(A4,'13_calc_waste_summary'!A$2:A$11,'13_calc_waste_summary'!Q$2:Q$11)</f>
        <v>1</v>
      </c>
      <c r="Z4" s="24">
        <f t="shared" si="1"/>
        <v>9</v>
      </c>
      <c r="AA4" s="24">
        <f t="shared" si="2"/>
        <v>3</v>
      </c>
      <c r="AB4" s="15" t="str">
        <f t="shared" si="3"/>
        <v>Medium Portfolio Priority</v>
      </c>
      <c r="AC4" s="15" t="str">
        <f t="shared" si="4"/>
        <v>Waste audit + recycling/diversion program</v>
      </c>
      <c r="AD4">
        <f t="shared" si="5"/>
        <v>3</v>
      </c>
      <c r="AE4" t="str">
        <f t="shared" si="6"/>
        <v>Waste + Diversion</v>
      </c>
      <c r="AI4" s="50"/>
      <c r="AJ4" s="50"/>
      <c r="AK4" s="50"/>
      <c r="AL4" s="50"/>
      <c r="AM4" s="50"/>
      <c r="AN4" s="50"/>
      <c r="AO4" s="50"/>
      <c r="AP4" s="50"/>
    </row>
    <row r="5" spans="1:42" ht="28.5">
      <c r="A5" s="22" t="s">
        <v>24</v>
      </c>
      <c r="B5" s="15" t="str">
        <f>_xlfn.XLOOKUP(A5,'01_input_asset_master'!A$2:A$11,'01_input_asset_master'!B$2:B$11)</f>
        <v>Badger Ridge Homes</v>
      </c>
      <c r="C5" s="31">
        <f>_xlfn.XLOOKUP(A5,'01_input_asset_master'!A$2:A$11,'01_input_asset_master'!H$2:H$11)</f>
        <v>120000</v>
      </c>
      <c r="D5" s="40">
        <f>_xlfn.XLOOKUP(A5,'01_input_asset_master'!A$2:A$11,'01_input_asset_master'!I$2:I$11)</f>
        <v>130</v>
      </c>
      <c r="E5" s="22">
        <f>_xlfn.XLOOKUP($A5,'11_calc_energy_summary'!$A$2:$A$11,'11_calc_energy_summary'!$M$2:$M$11)</f>
        <v>61.700410033333334</v>
      </c>
      <c r="F5" s="22" t="str">
        <f>_xlfn.XLOOKUP($A5,'11_calc_energy_summary'!$A$2:$A$11,'11_calc_energy_summary'!$V$2:$V$11)</f>
        <v>Above Benchmark</v>
      </c>
      <c r="G5" s="31">
        <f>_xlfn.XLOOKUP(A5,'11_calc_energy_summary'!A$2:A$11,'11_calc_energy_summary'!P$2:P$11)</f>
        <v>1318.9350769230768</v>
      </c>
      <c r="H5" s="22">
        <f t="shared" si="0"/>
        <v>4</v>
      </c>
      <c r="I5" s="22">
        <f>_xlfn.XLOOKUP(A5,'12_calc_water_summary'!A$2:A$11,'12_calc_water_summary'!E$2:E$11)</f>
        <v>32382.31</v>
      </c>
      <c r="J5" s="22">
        <f>_xlfn.XLOOKUP($A5,'12_calc_water_summary'!$A$2:$A$11,'12_calc_water_summary'!$J$2:$J$11)</f>
        <v>249.09469230769233</v>
      </c>
      <c r="K5" s="41">
        <f>_xlfn.XLOOKUP(A5,'12_calc_water_summary'!A$2:A$11,'12_calc_water_summary'!K$2:K$11)</f>
        <v>604.94399999999996</v>
      </c>
      <c r="L5" s="22" t="str">
        <f>_xlfn.XLOOKUP($A5,'12_calc_water_summary'!$A$2:$A$11,'12_calc_water_summary'!$O$2:$O$11)</f>
        <v>Efficient/Low</v>
      </c>
      <c r="M5" s="22">
        <f>_xlfn.XLOOKUP(A5,'13_calc_waste_summary'!A$2:A$11,'13_calc_waste_summary'!H$2:H$11)</f>
        <v>109.19999999999999</v>
      </c>
      <c r="N5" s="22">
        <f>_xlfn.XLOOKUP($A5,'13_calc_waste_summary'!$A$2:$A$11,'13_calc_waste_summary'!$L$2:$L$11)</f>
        <v>0.83999999999999986</v>
      </c>
      <c r="O5" s="27">
        <f>_xlfn.XLOOKUP($A5,'13_calc_waste_summary'!$A$2:$A$11,'13_calc_waste_summary'!$K$2:$K$11)</f>
        <v>0.21895604395604396</v>
      </c>
      <c r="P5" s="22" t="str">
        <f>_xlfn.XLOOKUP(A5,'13_calc_waste_summary'!A$2:A$11,'13_calc_waste_summary'!R$2:R$11)</f>
        <v>High Waste</v>
      </c>
      <c r="Q5" s="22" t="str">
        <f>_xlfn.XLOOKUP(A5,'13_calc_waste_summary'!A$2:A$11,'13_calc_waste_summary'!S$2:S$11)</f>
        <v>Weak Diversion</v>
      </c>
      <c r="R5" s="41">
        <f>_xlfn.XLOOKUP(A5,'14_calc_emissions_summary'!A$2:A$11,'14_calc_emissions_summary'!K$2:K$11)</f>
        <v>683.54049109300001</v>
      </c>
      <c r="S5" s="41">
        <f>_xlfn.XLOOKUP($A5,'14_calc_emissions_summary'!$A$2:$A$11,'14_calc_emissions_summary'!$L$2:$L$11)</f>
        <v>5.6961707591083339</v>
      </c>
      <c r="T5" s="41">
        <f>_xlfn.XLOOKUP(A5,'14_calc_emissions_summary'!A$2:A$11,'14_calc_emissions_summary'!M$2:M$11)</f>
        <v>5.2580037776384616</v>
      </c>
      <c r="U5" s="15" t="str">
        <f>_xlfn.XLOOKUP($A5,'14_calc_emissions_summary'!$A$2:$A$11,'14_calc_emissions_summary'!$P$2:$P$11)</f>
        <v>Moderate Carbon Intensity</v>
      </c>
      <c r="V5" s="24">
        <f>_xlfn.XLOOKUP(A5,'14_calc_emissions_summary'!A$2:A$11,'14_calc_emissions_summary'!Q$2:Q$11)</f>
        <v>4</v>
      </c>
      <c r="W5" s="27">
        <f>_xlfn.XLOOKUP($A5,'11_calc_energy_summary'!$A$2:$A$11,'11_calc_energy_summary'!$S$2:$S$11)</f>
        <v>1</v>
      </c>
      <c r="X5" s="27">
        <f>_xlfn.XLOOKUP(A5,'12_calc_water_summary'!A$2:A$11,'12_calc_water_summary'!N$2:N$11)</f>
        <v>1</v>
      </c>
      <c r="Y5" s="27">
        <f>_xlfn.XLOOKUP(A5,'13_calc_waste_summary'!A$2:A$11,'13_calc_waste_summary'!Q$2:Q$11)</f>
        <v>1</v>
      </c>
      <c r="Z5" s="24">
        <f t="shared" si="1"/>
        <v>9</v>
      </c>
      <c r="AA5" s="24">
        <f t="shared" si="2"/>
        <v>3</v>
      </c>
      <c r="AB5" s="15" t="str">
        <f t="shared" si="3"/>
        <v>Medium Portfolio Priority</v>
      </c>
      <c r="AC5" s="15" t="str">
        <f t="shared" si="4"/>
        <v>Waste audit + recycling/diversion program</v>
      </c>
      <c r="AD5">
        <f t="shared" si="5"/>
        <v>3</v>
      </c>
      <c r="AE5" t="str">
        <f t="shared" si="6"/>
        <v>Waste + Diversion</v>
      </c>
      <c r="AI5" s="50"/>
      <c r="AJ5" s="50"/>
      <c r="AK5" s="50"/>
      <c r="AL5" s="50"/>
      <c r="AM5" s="50"/>
      <c r="AN5" s="50"/>
      <c r="AO5" s="50"/>
      <c r="AP5" s="50"/>
    </row>
    <row r="6" spans="1:42" ht="28.5">
      <c r="A6" s="22" t="s">
        <v>11</v>
      </c>
      <c r="B6" s="15" t="str">
        <f>_xlfn.XLOOKUP(A6,'01_input_asset_master'!A$2:A$11,'01_input_asset_master'!B$2:B$11)</f>
        <v>Riverbend Apartments</v>
      </c>
      <c r="C6" s="31">
        <f>_xlfn.XLOOKUP(A6,'01_input_asset_master'!A$2:A$11,'01_input_asset_master'!H$2:H$11)</f>
        <v>165000</v>
      </c>
      <c r="D6" s="40">
        <f>_xlfn.XLOOKUP(A6,'01_input_asset_master'!A$2:A$11,'01_input_asset_master'!I$2:I$11)</f>
        <v>180</v>
      </c>
      <c r="E6" s="22">
        <f>_xlfn.XLOOKUP($A6,'11_calc_energy_summary'!$A$2:$A$11,'11_calc_energy_summary'!$M$2:$M$11)</f>
        <v>57.90008155151515</v>
      </c>
      <c r="F6" s="22" t="str">
        <f>_xlfn.XLOOKUP($A6,'11_calc_energy_summary'!$A$2:$A$11,'11_calc_energy_summary'!$V$2:$V$11)</f>
        <v>At/Below Benchmark</v>
      </c>
      <c r="G6" s="31">
        <f>_xlfn.XLOOKUP(A6,'11_calc_energy_summary'!A$2:A$11,'11_calc_energy_summary'!P$2:P$11)</f>
        <v>1259.1951666666671</v>
      </c>
      <c r="H6" s="22">
        <f t="shared" si="0"/>
        <v>5</v>
      </c>
      <c r="I6" s="22">
        <f>_xlfn.XLOOKUP(A6,'12_calc_water_summary'!A$2:A$11,'12_calc_water_summary'!E$2:E$11)</f>
        <v>46404.350000000006</v>
      </c>
      <c r="J6" s="22">
        <f>_xlfn.XLOOKUP($A6,'12_calc_water_summary'!$A$2:$A$11,'12_calc_water_summary'!$J$2:$J$11)</f>
        <v>257.80194444444447</v>
      </c>
      <c r="K6" s="41">
        <f>_xlfn.XLOOKUP(A6,'12_calc_water_summary'!A$2:A$11,'12_calc_water_summary'!K$2:K$11)</f>
        <v>626.09011111111124</v>
      </c>
      <c r="L6" s="22" t="str">
        <f>_xlfn.XLOOKUP($A6,'12_calc_water_summary'!$A$2:$A$11,'12_calc_water_summary'!$O$2:$O$11)</f>
        <v>Efficient/Low</v>
      </c>
      <c r="M6" s="22">
        <f>_xlfn.XLOOKUP(A6,'13_calc_waste_summary'!A$2:A$11,'13_calc_waste_summary'!H$2:H$11)</f>
        <v>147.41</v>
      </c>
      <c r="N6" s="22">
        <f>_xlfn.XLOOKUP($A6,'13_calc_waste_summary'!$A$2:$A$11,'13_calc_waste_summary'!$L$2:$L$11)</f>
        <v>0.81894444444444447</v>
      </c>
      <c r="O6" s="27">
        <f>_xlfn.XLOOKUP($A6,'13_calc_waste_summary'!$A$2:$A$11,'13_calc_waste_summary'!$K$2:$K$11)</f>
        <v>0.22230513533681567</v>
      </c>
      <c r="P6" s="22" t="str">
        <f>_xlfn.XLOOKUP(A6,'13_calc_waste_summary'!A$2:A$11,'13_calc_waste_summary'!R$2:R$11)</f>
        <v>High Waste</v>
      </c>
      <c r="Q6" s="22" t="str">
        <f>_xlfn.XLOOKUP(A6,'13_calc_waste_summary'!A$2:A$11,'13_calc_waste_summary'!S$2:S$11)</f>
        <v>Weak Diversion</v>
      </c>
      <c r="R6" s="41">
        <f>_xlfn.XLOOKUP(A6,'14_calc_emissions_summary'!A$2:A$11,'14_calc_emissions_summary'!K$2:K$11)</f>
        <v>899.44592300199997</v>
      </c>
      <c r="S6" s="41">
        <f>_xlfn.XLOOKUP($A6,'14_calc_emissions_summary'!$A$2:$A$11,'14_calc_emissions_summary'!$L$2:$L$11)</f>
        <v>5.4511874121333328</v>
      </c>
      <c r="T6" s="41">
        <f>_xlfn.XLOOKUP(A6,'14_calc_emissions_summary'!A$2:A$11,'14_calc_emissions_summary'!M$2:M$11)</f>
        <v>4.9969217944555551</v>
      </c>
      <c r="U6" s="15" t="str">
        <f>_xlfn.XLOOKUP($A6,'14_calc_emissions_summary'!$A$2:$A$11,'14_calc_emissions_summary'!$P$2:$P$11)</f>
        <v>Moderate Carbon Intensity</v>
      </c>
      <c r="V6" s="24">
        <f>_xlfn.XLOOKUP(A6,'14_calc_emissions_summary'!A$2:A$11,'14_calc_emissions_summary'!Q$2:Q$11)</f>
        <v>5</v>
      </c>
      <c r="W6" s="27">
        <f>_xlfn.XLOOKUP($A6,'11_calc_energy_summary'!$A$2:$A$11,'11_calc_energy_summary'!$S$2:$S$11)</f>
        <v>1</v>
      </c>
      <c r="X6" s="27">
        <f>_xlfn.XLOOKUP(A6,'12_calc_water_summary'!A$2:A$11,'12_calc_water_summary'!N$2:N$11)</f>
        <v>1</v>
      </c>
      <c r="Y6" s="27">
        <f>_xlfn.XLOOKUP(A6,'13_calc_waste_summary'!A$2:A$11,'13_calc_waste_summary'!Q$2:Q$11)</f>
        <v>1</v>
      </c>
      <c r="Z6" s="24">
        <f t="shared" si="1"/>
        <v>8</v>
      </c>
      <c r="AA6" s="24">
        <f t="shared" si="2"/>
        <v>5</v>
      </c>
      <c r="AB6" s="15" t="str">
        <f t="shared" si="3"/>
        <v>Medium Portfolio Priority</v>
      </c>
      <c r="AC6" s="15" t="str">
        <f t="shared" si="4"/>
        <v>Waste audit + recycling/diversion program</v>
      </c>
      <c r="AD6">
        <f t="shared" si="5"/>
        <v>2</v>
      </c>
      <c r="AE6" t="str">
        <f t="shared" si="6"/>
        <v>Waste + Diversion</v>
      </c>
      <c r="AI6" s="50"/>
      <c r="AJ6" s="50"/>
      <c r="AK6" s="50"/>
      <c r="AL6" s="50"/>
      <c r="AM6" s="50"/>
      <c r="AN6" s="50"/>
      <c r="AO6" s="50"/>
      <c r="AP6" s="50"/>
    </row>
    <row r="7" spans="1:42" ht="28.5">
      <c r="A7" s="22" t="s">
        <v>20</v>
      </c>
      <c r="B7" s="15" t="str">
        <f>_xlfn.XLOOKUP(A7,'01_input_asset_master'!A$2:A$11,'01_input_asset_master'!B$2:B$11)</f>
        <v>Northside Commons</v>
      </c>
      <c r="C7" s="31">
        <f>_xlfn.XLOOKUP(A7,'01_input_asset_master'!A$2:A$11,'01_input_asset_master'!H$2:H$11)</f>
        <v>145000</v>
      </c>
      <c r="D7" s="40">
        <f>_xlfn.XLOOKUP(A7,'01_input_asset_master'!A$2:A$11,'01_input_asset_master'!I$2:I$11)</f>
        <v>160</v>
      </c>
      <c r="E7" s="22">
        <f>_xlfn.XLOOKUP($A7,'11_calc_energy_summary'!$A$2:$A$11,'11_calc_energy_summary'!$M$2:$M$11)</f>
        <v>54.298186979310344</v>
      </c>
      <c r="F7" s="22" t="str">
        <f>_xlfn.XLOOKUP($A7,'11_calc_energy_summary'!$A$2:$A$11,'11_calc_energy_summary'!$V$2:$V$11)</f>
        <v>At/Below Benchmark</v>
      </c>
      <c r="G7" s="31">
        <f>_xlfn.XLOOKUP(A7,'11_calc_energy_summary'!A$2:A$11,'11_calc_energy_summary'!P$2:P$11)</f>
        <v>1200.0140625000001</v>
      </c>
      <c r="H7" s="22">
        <f t="shared" si="0"/>
        <v>7</v>
      </c>
      <c r="I7" s="22">
        <f>_xlfn.XLOOKUP(A7,'12_calc_water_summary'!A$2:A$11,'12_calc_water_summary'!E$2:E$11)</f>
        <v>37799.439999999995</v>
      </c>
      <c r="J7" s="22">
        <f>_xlfn.XLOOKUP($A7,'12_calc_water_summary'!$A$2:$A$11,'12_calc_water_summary'!$J$2:$J$11)</f>
        <v>236.24649999999997</v>
      </c>
      <c r="K7" s="41">
        <f>_xlfn.XLOOKUP(A7,'12_calc_water_summary'!A$2:A$11,'12_calc_water_summary'!K$2:K$11)</f>
        <v>573.74150000000009</v>
      </c>
      <c r="L7" s="22" t="str">
        <f>_xlfn.XLOOKUP($A7,'12_calc_water_summary'!$A$2:$A$11,'12_calc_water_summary'!$O$2:$O$11)</f>
        <v>Efficient/Low</v>
      </c>
      <c r="M7" s="22">
        <f>_xlfn.XLOOKUP(A7,'13_calc_waste_summary'!A$2:A$11,'13_calc_waste_summary'!H$2:H$11)</f>
        <v>130.60000000000002</v>
      </c>
      <c r="N7" s="22">
        <f>_xlfn.XLOOKUP($A7,'13_calc_waste_summary'!$A$2:$A$11,'13_calc_waste_summary'!$L$2:$L$11)</f>
        <v>0.81625000000000014</v>
      </c>
      <c r="O7" s="27">
        <f>_xlfn.XLOOKUP($A7,'13_calc_waste_summary'!$A$2:$A$11,'13_calc_waste_summary'!$K$2:$K$11)</f>
        <v>0.27059724349157732</v>
      </c>
      <c r="P7" s="22" t="str">
        <f>_xlfn.XLOOKUP(A7,'13_calc_waste_summary'!A$2:A$11,'13_calc_waste_summary'!R$2:R$11)</f>
        <v>High Waste</v>
      </c>
      <c r="Q7" s="22" t="str">
        <f>_xlfn.XLOOKUP(A7,'13_calc_waste_summary'!A$2:A$11,'13_calc_waste_summary'!S$2:S$11)</f>
        <v>Weak Diversion</v>
      </c>
      <c r="R7" s="41">
        <f>_xlfn.XLOOKUP(A7,'14_calc_emissions_summary'!A$2:A$11,'14_calc_emissions_summary'!K$2:K$11)</f>
        <v>758.05592905399999</v>
      </c>
      <c r="S7" s="41">
        <f>_xlfn.XLOOKUP($A7,'14_calc_emissions_summary'!$A$2:$A$11,'14_calc_emissions_summary'!$L$2:$L$11)</f>
        <v>5.2279719245103449</v>
      </c>
      <c r="T7" s="41">
        <f>_xlfn.XLOOKUP(A7,'14_calc_emissions_summary'!A$2:A$11,'14_calc_emissions_summary'!M$2:M$11)</f>
        <v>4.7378495565875003</v>
      </c>
      <c r="U7" s="15" t="str">
        <f>_xlfn.XLOOKUP($A7,'14_calc_emissions_summary'!$A$2:$A$11,'14_calc_emissions_summary'!$P$2:$P$11)</f>
        <v>Moderate Carbon Intensity</v>
      </c>
      <c r="V7" s="24">
        <f>_xlfn.XLOOKUP(A7,'14_calc_emissions_summary'!A$2:A$11,'14_calc_emissions_summary'!Q$2:Q$11)</f>
        <v>7</v>
      </c>
      <c r="W7" s="27">
        <f>_xlfn.XLOOKUP($A7,'11_calc_energy_summary'!$A$2:$A$11,'11_calc_energy_summary'!$S$2:$S$11)</f>
        <v>1</v>
      </c>
      <c r="X7" s="27">
        <f>_xlfn.XLOOKUP(A7,'12_calc_water_summary'!A$2:A$11,'12_calc_water_summary'!N$2:N$11)</f>
        <v>1</v>
      </c>
      <c r="Y7" s="27">
        <f>_xlfn.XLOOKUP(A7,'13_calc_waste_summary'!A$2:A$11,'13_calc_waste_summary'!Q$2:Q$11)</f>
        <v>1</v>
      </c>
      <c r="Z7" s="24">
        <f t="shared" si="1"/>
        <v>8</v>
      </c>
      <c r="AA7" s="24">
        <f t="shared" si="2"/>
        <v>5</v>
      </c>
      <c r="AB7" s="15" t="str">
        <f t="shared" si="3"/>
        <v>Medium Portfolio Priority</v>
      </c>
      <c r="AC7" s="15" t="str">
        <f t="shared" si="4"/>
        <v>Waste audit + recycling/diversion program</v>
      </c>
      <c r="AD7">
        <f t="shared" si="5"/>
        <v>2</v>
      </c>
      <c r="AE7" t="str">
        <f t="shared" si="6"/>
        <v>Waste + Diversion</v>
      </c>
      <c r="AI7" s="50"/>
      <c r="AJ7" s="50"/>
      <c r="AK7" s="50"/>
      <c r="AL7" s="50"/>
      <c r="AM7" s="50"/>
      <c r="AN7" s="50"/>
      <c r="AO7" s="50"/>
      <c r="AP7" s="50"/>
    </row>
    <row r="8" spans="1:42" ht="28.5">
      <c r="A8" s="22" t="s">
        <v>28</v>
      </c>
      <c r="B8" s="15" t="str">
        <f>_xlfn.XLOOKUP(A8,'01_input_asset_master'!A$2:A$11,'01_input_asset_master'!B$2:B$11)</f>
        <v>Oak Street Lofts</v>
      </c>
      <c r="C8" s="31">
        <f>_xlfn.XLOOKUP(A8,'01_input_asset_master'!A$2:A$11,'01_input_asset_master'!H$2:H$11)</f>
        <v>98000</v>
      </c>
      <c r="D8" s="40">
        <f>_xlfn.XLOOKUP(A8,'01_input_asset_master'!A$2:A$11,'01_input_asset_master'!I$2:I$11)</f>
        <v>105</v>
      </c>
      <c r="E8" s="22">
        <f>_xlfn.XLOOKUP($A8,'11_calc_energy_summary'!$A$2:$A$11,'11_calc_energy_summary'!$M$2:$M$11)</f>
        <v>48.199448653061225</v>
      </c>
      <c r="F8" s="22" t="str">
        <f>_xlfn.XLOOKUP($A8,'11_calc_energy_summary'!$A$2:$A$11,'11_calc_energy_summary'!$V$2:$V$11)</f>
        <v>At/Below Benchmark</v>
      </c>
      <c r="G8" s="31">
        <f>_xlfn.XLOOKUP(A8,'11_calc_energy_summary'!A$2:A$11,'11_calc_energy_summary'!P$2:P$11)</f>
        <v>1152.31</v>
      </c>
      <c r="H8" s="22">
        <f t="shared" si="0"/>
        <v>9</v>
      </c>
      <c r="I8" s="22">
        <f>_xlfn.XLOOKUP(A8,'12_calc_water_summary'!A$2:A$11,'12_calc_water_summary'!E$2:E$11)</f>
        <v>20938.79</v>
      </c>
      <c r="J8" s="22">
        <f>_xlfn.XLOOKUP($A8,'12_calc_water_summary'!$A$2:$A$11,'12_calc_water_summary'!$J$2:$J$11)</f>
        <v>199.41704761904762</v>
      </c>
      <c r="K8" s="41">
        <f>_xlfn.XLOOKUP(A8,'12_calc_water_summary'!A$2:A$11,'12_calc_water_summary'!K$2:K$11)</f>
        <v>484.29847619047621</v>
      </c>
      <c r="L8" s="22" t="str">
        <f>_xlfn.XLOOKUP($A8,'12_calc_water_summary'!$A$2:$A$11,'12_calc_water_summary'!$O$2:$O$11)</f>
        <v>Efficient/Low</v>
      </c>
      <c r="M8" s="22">
        <f>_xlfn.XLOOKUP(A8,'13_calc_waste_summary'!A$2:A$11,'13_calc_waste_summary'!H$2:H$11)</f>
        <v>86.880000000000024</v>
      </c>
      <c r="N8" s="22">
        <f>_xlfn.XLOOKUP($A8,'13_calc_waste_summary'!$A$2:$A$11,'13_calc_waste_summary'!$L$2:$L$11)</f>
        <v>0.82742857142857162</v>
      </c>
      <c r="O8" s="27">
        <f>_xlfn.XLOOKUP($A8,'13_calc_waste_summary'!$A$2:$A$11,'13_calc_waste_summary'!$K$2:$K$11)</f>
        <v>0.2780847145488029</v>
      </c>
      <c r="P8" s="22" t="str">
        <f>_xlfn.XLOOKUP(A8,'13_calc_waste_summary'!A$2:A$11,'13_calc_waste_summary'!R$2:R$11)</f>
        <v>High Waste</v>
      </c>
      <c r="Q8" s="22" t="str">
        <f>_xlfn.XLOOKUP(A8,'13_calc_waste_summary'!A$2:A$11,'13_calc_waste_summary'!S$2:S$11)</f>
        <v>Weak Diversion</v>
      </c>
      <c r="R8" s="41">
        <f>_xlfn.XLOOKUP(A8,'14_calc_emissions_summary'!A$2:A$11,'14_calc_emissions_summary'!K$2:K$11)</f>
        <v>473.50152065599997</v>
      </c>
      <c r="S8" s="41">
        <f>_xlfn.XLOOKUP($A8,'14_calc_emissions_summary'!$A$2:$A$11,'14_calc_emissions_summary'!$L$2:$L$11)</f>
        <v>4.8316481699591831</v>
      </c>
      <c r="T8" s="41">
        <f>_xlfn.XLOOKUP(A8,'14_calc_emissions_summary'!A$2:A$11,'14_calc_emissions_summary'!M$2:M$11)</f>
        <v>4.5095382919619045</v>
      </c>
      <c r="U8" s="15" t="str">
        <f>_xlfn.XLOOKUP($A8,'14_calc_emissions_summary'!$A$2:$A$11,'14_calc_emissions_summary'!$P$2:$P$11)</f>
        <v>Lower Carbon Intensity</v>
      </c>
      <c r="V8" s="24">
        <f>_xlfn.XLOOKUP(A8,'14_calc_emissions_summary'!A$2:A$11,'14_calc_emissions_summary'!Q$2:Q$11)</f>
        <v>9</v>
      </c>
      <c r="W8" s="27">
        <f>_xlfn.XLOOKUP($A8,'11_calc_energy_summary'!$A$2:$A$11,'11_calc_energy_summary'!$S$2:$S$11)</f>
        <v>1</v>
      </c>
      <c r="X8" s="27">
        <f>_xlfn.XLOOKUP(A8,'12_calc_water_summary'!A$2:A$11,'12_calc_water_summary'!N$2:N$11)</f>
        <v>1</v>
      </c>
      <c r="Y8" s="27">
        <f>_xlfn.XLOOKUP(A8,'13_calc_waste_summary'!A$2:A$11,'13_calc_waste_summary'!Q$2:Q$11)</f>
        <v>1</v>
      </c>
      <c r="Z8" s="24">
        <f t="shared" si="1"/>
        <v>7</v>
      </c>
      <c r="AA8" s="24">
        <f t="shared" si="2"/>
        <v>7</v>
      </c>
      <c r="AB8" s="15" t="str">
        <f t="shared" si="3"/>
        <v>Lower Portfolio Priority</v>
      </c>
      <c r="AC8" s="15" t="str">
        <f t="shared" si="4"/>
        <v>Waste audit + recycling/diversion program</v>
      </c>
      <c r="AD8">
        <f t="shared" si="5"/>
        <v>2</v>
      </c>
      <c r="AE8" t="str">
        <f t="shared" si="6"/>
        <v>Waste + Diversion</v>
      </c>
      <c r="AI8" s="50"/>
      <c r="AJ8" s="50"/>
      <c r="AK8" s="50"/>
      <c r="AL8" s="50"/>
      <c r="AM8" s="50"/>
      <c r="AN8" s="50"/>
      <c r="AO8" s="50"/>
      <c r="AP8" s="50"/>
    </row>
    <row r="9" spans="1:42" ht="14.25" customHeight="1">
      <c r="A9" s="22" t="s">
        <v>34</v>
      </c>
      <c r="B9" s="15" t="str">
        <f>_xlfn.XLOOKUP(A9,'01_input_asset_master'!A$2:A$11,'01_input_asset_master'!B$2:B$11)</f>
        <v>Fox River Flats</v>
      </c>
      <c r="C9" s="31">
        <f>_xlfn.XLOOKUP(A9,'01_input_asset_master'!A$2:A$11,'01_input_asset_master'!H$2:H$11)</f>
        <v>135000</v>
      </c>
      <c r="D9" s="40">
        <f>_xlfn.XLOOKUP(A9,'01_input_asset_master'!A$2:A$11,'01_input_asset_master'!I$2:I$11)</f>
        <v>150</v>
      </c>
      <c r="E9" s="22">
        <f>_xlfn.XLOOKUP($A9,'11_calc_energy_summary'!$A$2:$A$11,'11_calc_energy_summary'!$M$2:$M$11)</f>
        <v>51.800011229629625</v>
      </c>
      <c r="F9" s="22" t="str">
        <f>_xlfn.XLOOKUP($A9,'11_calc_energy_summary'!$A$2:$A$11,'11_calc_energy_summary'!$V$2:$V$11)</f>
        <v>At/Below Benchmark</v>
      </c>
      <c r="G9" s="31">
        <f>_xlfn.XLOOKUP(A9,'11_calc_energy_summary'!A$2:A$11,'11_calc_energy_summary'!P$2:P$11)</f>
        <v>1163.3187333333335</v>
      </c>
      <c r="H9" s="22">
        <f t="shared" si="0"/>
        <v>8</v>
      </c>
      <c r="I9" s="22">
        <f>_xlfn.XLOOKUP(A9,'12_calc_water_summary'!A$2:A$11,'12_calc_water_summary'!E$2:E$11)</f>
        <v>31331.91</v>
      </c>
      <c r="J9" s="22">
        <f>_xlfn.XLOOKUP($A9,'12_calc_water_summary'!$A$2:$A$11,'12_calc_water_summary'!$J$2:$J$11)</f>
        <v>208.8794</v>
      </c>
      <c r="K9" s="41">
        <f>_xlfn.XLOOKUP(A9,'12_calc_water_summary'!A$2:A$11,'12_calc_water_summary'!K$2:K$11)</f>
        <v>507.27839999999998</v>
      </c>
      <c r="L9" s="22" t="str">
        <f>_xlfn.XLOOKUP($A9,'12_calc_water_summary'!$A$2:$A$11,'12_calc_water_summary'!$O$2:$O$11)</f>
        <v>Efficient/Low</v>
      </c>
      <c r="M9" s="22">
        <f>_xlfn.XLOOKUP(A9,'13_calc_waste_summary'!A$2:A$11,'13_calc_waste_summary'!H$2:H$11)</f>
        <v>119.41999999999999</v>
      </c>
      <c r="N9" s="22">
        <f>_xlfn.XLOOKUP($A9,'13_calc_waste_summary'!$A$2:$A$11,'13_calc_waste_summary'!$L$2:$L$11)</f>
        <v>0.79613333333333325</v>
      </c>
      <c r="O9" s="27">
        <f>_xlfn.XLOOKUP($A9,'13_calc_waste_summary'!$A$2:$A$11,'13_calc_waste_summary'!$K$2:$K$11)</f>
        <v>0.26586836375816447</v>
      </c>
      <c r="P9" s="22" t="str">
        <f>_xlfn.XLOOKUP(A9,'13_calc_waste_summary'!A$2:A$11,'13_calc_waste_summary'!R$2:R$11)</f>
        <v>Moderate</v>
      </c>
      <c r="Q9" s="22" t="str">
        <f>_xlfn.XLOOKUP(A9,'13_calc_waste_summary'!A$2:A$11,'13_calc_waste_summary'!S$2:S$11)</f>
        <v>Weak Diversion</v>
      </c>
      <c r="R9" s="41">
        <f>_xlfn.XLOOKUP(A9,'14_calc_emissions_summary'!A$2:A$11,'14_calc_emissions_summary'!K$2:K$11)</f>
        <v>686.07953754699997</v>
      </c>
      <c r="S9" s="41">
        <f>_xlfn.XLOOKUP($A9,'14_calc_emissions_summary'!$A$2:$A$11,'14_calc_emissions_summary'!$L$2:$L$11)</f>
        <v>5.0820706484962965</v>
      </c>
      <c r="T9" s="41">
        <f>_xlfn.XLOOKUP(A9,'14_calc_emissions_summary'!A$2:A$11,'14_calc_emissions_summary'!M$2:M$11)</f>
        <v>4.5738635836466663</v>
      </c>
      <c r="U9" s="15" t="str">
        <f>_xlfn.XLOOKUP($A9,'14_calc_emissions_summary'!$A$2:$A$11,'14_calc_emissions_summary'!$P$2:$P$11)</f>
        <v>Moderate Carbon Intensity</v>
      </c>
      <c r="V9" s="24">
        <f>_xlfn.XLOOKUP(A9,'14_calc_emissions_summary'!A$2:A$11,'14_calc_emissions_summary'!Q$2:Q$11)</f>
        <v>8</v>
      </c>
      <c r="W9" s="27">
        <f>_xlfn.XLOOKUP($A9,'11_calc_energy_summary'!$A$2:$A$11,'11_calc_energy_summary'!$S$2:$S$11)</f>
        <v>1</v>
      </c>
      <c r="X9" s="27">
        <f>_xlfn.XLOOKUP(A9,'12_calc_water_summary'!A$2:A$11,'12_calc_water_summary'!N$2:N$11)</f>
        <v>1</v>
      </c>
      <c r="Y9" s="27">
        <f>_xlfn.XLOOKUP(A9,'13_calc_waste_summary'!A$2:A$11,'13_calc_waste_summary'!Q$2:Q$11)</f>
        <v>1</v>
      </c>
      <c r="Z9" s="24">
        <f t="shared" si="1"/>
        <v>7</v>
      </c>
      <c r="AA9" s="24">
        <f t="shared" si="2"/>
        <v>7</v>
      </c>
      <c r="AB9" s="15" t="str">
        <f t="shared" si="3"/>
        <v>Lower Portfolio Priority</v>
      </c>
      <c r="AC9" s="15" t="str">
        <f t="shared" si="4"/>
        <v>Maintain performance + monitor KPIs</v>
      </c>
      <c r="AD9">
        <f t="shared" si="5"/>
        <v>1</v>
      </c>
      <c r="AE9" t="str">
        <f t="shared" si="6"/>
        <v>Monitor</v>
      </c>
      <c r="AI9" s="50"/>
      <c r="AJ9" s="50"/>
      <c r="AK9" s="50"/>
      <c r="AL9" s="50"/>
      <c r="AM9" s="50"/>
      <c r="AN9" s="50"/>
      <c r="AO9" s="50"/>
      <c r="AP9" s="50"/>
    </row>
    <row r="10" spans="1:42" ht="28.5">
      <c r="A10" s="22" t="s">
        <v>38</v>
      </c>
      <c r="B10" s="15" t="str">
        <f>_xlfn.XLOOKUP(A10,'01_input_asset_master'!A$2:A$11,'01_input_asset_master'!B$2:B$11)</f>
        <v>Prairie View Residences</v>
      </c>
      <c r="C10" s="31">
        <f>_xlfn.XLOOKUP(A10,'01_input_asset_master'!A$2:A$11,'01_input_asset_master'!H$2:H$11)</f>
        <v>110000</v>
      </c>
      <c r="D10" s="40">
        <f>_xlfn.XLOOKUP(A10,'01_input_asset_master'!A$2:A$11,'01_input_asset_master'!I$2:I$11)</f>
        <v>120</v>
      </c>
      <c r="E10" s="22">
        <f>_xlfn.XLOOKUP($A10,'11_calc_energy_summary'!$A$2:$A$11,'11_calc_energy_summary'!$M$2:$M$11)</f>
        <v>57.499573345454543</v>
      </c>
      <c r="F10" s="22" t="str">
        <f>_xlfn.XLOOKUP($A10,'11_calc_energy_summary'!$A$2:$A$11,'11_calc_energy_summary'!$V$2:$V$11)</f>
        <v>At/Below Benchmark</v>
      </c>
      <c r="G10" s="31">
        <f>_xlfn.XLOOKUP(A10,'11_calc_energy_summary'!A$2:A$11,'11_calc_energy_summary'!P$2:P$11)</f>
        <v>1260.4525833333332</v>
      </c>
      <c r="H10" s="22">
        <f t="shared" si="0"/>
        <v>6</v>
      </c>
      <c r="I10" s="22">
        <f>_xlfn.XLOOKUP(A10,'12_calc_water_summary'!A$2:A$11,'12_calc_water_summary'!E$2:E$11)</f>
        <v>27447.839999999997</v>
      </c>
      <c r="J10" s="22">
        <f>_xlfn.XLOOKUP($A10,'12_calc_water_summary'!$A$2:$A$11,'12_calc_water_summary'!$J$2:$J$11)</f>
        <v>228.73199999999997</v>
      </c>
      <c r="K10" s="41">
        <f>_xlfn.XLOOKUP(A10,'12_calc_water_summary'!A$2:A$11,'12_calc_water_summary'!K$2:K$11)</f>
        <v>555.49183333333326</v>
      </c>
      <c r="L10" s="22" t="str">
        <f>_xlfn.XLOOKUP($A10,'12_calc_water_summary'!$A$2:$A$11,'12_calc_water_summary'!$O$2:$O$11)</f>
        <v>Efficient/Low</v>
      </c>
      <c r="M10" s="22">
        <f>_xlfn.XLOOKUP(A10,'13_calc_waste_summary'!A$2:A$11,'13_calc_waste_summary'!H$2:H$11)</f>
        <v>92.52000000000001</v>
      </c>
      <c r="N10" s="22">
        <f>_xlfn.XLOOKUP($A10,'13_calc_waste_summary'!$A$2:$A$11,'13_calc_waste_summary'!$L$2:$L$11)</f>
        <v>0.77100000000000013</v>
      </c>
      <c r="O10" s="27">
        <f>_xlfn.XLOOKUP($A10,'13_calc_waste_summary'!$A$2:$A$11,'13_calc_waste_summary'!$K$2:$K$11)</f>
        <v>0.26913099870298313</v>
      </c>
      <c r="P10" s="22" t="str">
        <f>_xlfn.XLOOKUP(A10,'13_calc_waste_summary'!A$2:A$11,'13_calc_waste_summary'!R$2:R$11)</f>
        <v>Moderate</v>
      </c>
      <c r="Q10" s="22" t="str">
        <f>_xlfn.XLOOKUP(A10,'13_calc_waste_summary'!A$2:A$11,'13_calc_waste_summary'!S$2:S$11)</f>
        <v>Weak Diversion</v>
      </c>
      <c r="R10" s="41">
        <f>_xlfn.XLOOKUP(A10,'14_calc_emissions_summary'!A$2:A$11,'14_calc_emissions_summary'!K$2:K$11)</f>
        <v>599.34000303100004</v>
      </c>
      <c r="S10" s="41">
        <f>_xlfn.XLOOKUP($A10,'14_calc_emissions_summary'!$A$2:$A$11,'14_calc_emissions_summary'!$L$2:$L$11)</f>
        <v>5.4485454821000001</v>
      </c>
      <c r="T10" s="41">
        <f>_xlfn.XLOOKUP(A10,'14_calc_emissions_summary'!A$2:A$11,'14_calc_emissions_summary'!M$2:M$11)</f>
        <v>4.9945000252583336</v>
      </c>
      <c r="U10" s="15" t="str">
        <f>_xlfn.XLOOKUP($A10,'14_calc_emissions_summary'!$A$2:$A$11,'14_calc_emissions_summary'!$P$2:$P$11)</f>
        <v>Moderate Carbon Intensity</v>
      </c>
      <c r="V10" s="24">
        <f>_xlfn.XLOOKUP(A10,'14_calc_emissions_summary'!A$2:A$11,'14_calc_emissions_summary'!Q$2:Q$11)</f>
        <v>6</v>
      </c>
      <c r="W10" s="27">
        <f>_xlfn.XLOOKUP($A10,'11_calc_energy_summary'!$A$2:$A$11,'11_calc_energy_summary'!$S$2:$S$11)</f>
        <v>1</v>
      </c>
      <c r="X10" s="27">
        <f>_xlfn.XLOOKUP(A10,'12_calc_water_summary'!A$2:A$11,'12_calc_water_summary'!N$2:N$11)</f>
        <v>1</v>
      </c>
      <c r="Y10" s="27">
        <f>_xlfn.XLOOKUP(A10,'13_calc_waste_summary'!A$2:A$11,'13_calc_waste_summary'!Q$2:Q$11)</f>
        <v>1</v>
      </c>
      <c r="Z10" s="24">
        <f t="shared" si="1"/>
        <v>7</v>
      </c>
      <c r="AA10" s="24">
        <f t="shared" si="2"/>
        <v>7</v>
      </c>
      <c r="AB10" s="15" t="str">
        <f t="shared" si="3"/>
        <v>Lower Portfolio Priority</v>
      </c>
      <c r="AC10" s="15" t="str">
        <f t="shared" si="4"/>
        <v>Maintain performance + monitor KPIs</v>
      </c>
      <c r="AD10">
        <f t="shared" si="5"/>
        <v>1</v>
      </c>
      <c r="AE10" t="str">
        <f t="shared" si="6"/>
        <v>Monitor</v>
      </c>
      <c r="AI10" s="50"/>
      <c r="AJ10" s="50"/>
      <c r="AK10" s="50"/>
      <c r="AL10" s="50"/>
      <c r="AM10" s="50"/>
      <c r="AN10" s="50"/>
      <c r="AO10" s="50"/>
      <c r="AP10" s="50"/>
    </row>
    <row r="11" spans="1:42" ht="28.5">
      <c r="A11" s="22" t="s">
        <v>41</v>
      </c>
      <c r="B11" s="15" t="str">
        <f>_xlfn.XLOOKUP(A11,'01_input_asset_master'!A$2:A$11,'01_input_asset_master'!B$2:B$11)</f>
        <v>Capitol Square Homes</v>
      </c>
      <c r="C11" s="31">
        <f>_xlfn.XLOOKUP(A11,'01_input_asset_master'!A$2:A$11,'01_input_asset_master'!H$2:H$11)</f>
        <v>175000</v>
      </c>
      <c r="D11" s="40">
        <f>_xlfn.XLOOKUP(A11,'01_input_asset_master'!A$2:A$11,'01_input_asset_master'!I$2:I$11)</f>
        <v>190</v>
      </c>
      <c r="E11" s="22">
        <f>_xlfn.XLOOKUP($A11,'11_calc_energy_summary'!$A$2:$A$11,'11_calc_energy_summary'!$M$2:$M$11)</f>
        <v>46.999578011428568</v>
      </c>
      <c r="F11" s="22" t="str">
        <f>_xlfn.XLOOKUP($A11,'11_calc_energy_summary'!$A$2:$A$11,'11_calc_energy_summary'!$V$2:$V$11)</f>
        <v>At/Below Benchmark</v>
      </c>
      <c r="G11" s="31">
        <f>_xlfn.XLOOKUP(A11,'11_calc_energy_summary'!A$2:A$11,'11_calc_energy_summary'!P$2:P$11)</f>
        <v>1137.4734210526317</v>
      </c>
      <c r="H11" s="22">
        <f t="shared" si="0"/>
        <v>10</v>
      </c>
      <c r="I11" s="22">
        <f>_xlfn.XLOOKUP(A11,'12_calc_water_summary'!A$2:A$11,'12_calc_water_summary'!E$2:E$11)</f>
        <v>38401.79</v>
      </c>
      <c r="J11" s="22">
        <f>_xlfn.XLOOKUP($A11,'12_calc_water_summary'!$A$2:$A$11,'12_calc_water_summary'!$J$2:$J$11)</f>
        <v>202.11468421052632</v>
      </c>
      <c r="K11" s="41">
        <f>_xlfn.XLOOKUP(A11,'12_calc_water_summary'!A$2:A$11,'12_calc_water_summary'!K$2:K$11)</f>
        <v>490.84989473684203</v>
      </c>
      <c r="L11" s="22" t="str">
        <f>_xlfn.XLOOKUP($A11,'12_calc_water_summary'!$A$2:$A$11,'12_calc_water_summary'!$O$2:$O$11)</f>
        <v>Efficient/Low</v>
      </c>
      <c r="M11" s="22">
        <f>_xlfn.XLOOKUP(A11,'13_calc_waste_summary'!A$2:A$11,'13_calc_waste_summary'!H$2:H$11)</f>
        <v>157.88</v>
      </c>
      <c r="N11" s="22">
        <f>_xlfn.XLOOKUP($A11,'13_calc_waste_summary'!$A$2:$A$11,'13_calc_waste_summary'!$L$2:$L$11)</f>
        <v>0.83094736842105266</v>
      </c>
      <c r="O11" s="27">
        <f>_xlfn.XLOOKUP($A11,'13_calc_waste_summary'!$A$2:$A$11,'13_calc_waste_summary'!$K$2:$K$11)</f>
        <v>0.33278439321003306</v>
      </c>
      <c r="P11" s="22" t="str">
        <f>_xlfn.XLOOKUP(A11,'13_calc_waste_summary'!A$2:A$11,'13_calc_waste_summary'!R$2:R$11)</f>
        <v>High Waste</v>
      </c>
      <c r="Q11" s="22" t="str">
        <f>_xlfn.XLOOKUP(A11,'13_calc_waste_summary'!A$2:A$11,'13_calc_waste_summary'!S$2:S$11)</f>
        <v>Moderate Diversion</v>
      </c>
      <c r="R11" s="41">
        <f>_xlfn.XLOOKUP(A11,'14_calc_emissions_summary'!A$2:A$11,'14_calc_emissions_summary'!K$2:K$11)</f>
        <v>842.03310583399991</v>
      </c>
      <c r="S11" s="41">
        <f>_xlfn.XLOOKUP($A11,'14_calc_emissions_summary'!$A$2:$A$11,'14_calc_emissions_summary'!$L$2:$L$11)</f>
        <v>4.811617747622857</v>
      </c>
      <c r="T11" s="41">
        <f>_xlfn.XLOOKUP(A11,'14_calc_emissions_summary'!A$2:A$11,'14_calc_emissions_summary'!M$2:M$11)</f>
        <v>4.4317531885999992</v>
      </c>
      <c r="U11" s="15" t="str">
        <f>_xlfn.XLOOKUP($A11,'14_calc_emissions_summary'!$A$2:$A$11,'14_calc_emissions_summary'!$P$2:$P$11)</f>
        <v>Lower Carbon Intensity</v>
      </c>
      <c r="V11" s="24">
        <f>_xlfn.XLOOKUP(A11,'14_calc_emissions_summary'!A$2:A$11,'14_calc_emissions_summary'!Q$2:Q$11)</f>
        <v>10</v>
      </c>
      <c r="W11" s="27">
        <f>_xlfn.XLOOKUP($A11,'11_calc_energy_summary'!$A$2:$A$11,'11_calc_energy_summary'!$S$2:$S$11)</f>
        <v>1</v>
      </c>
      <c r="X11" s="27">
        <f>_xlfn.XLOOKUP(A11,'12_calc_water_summary'!A$2:A$11,'12_calc_water_summary'!N$2:N$11)</f>
        <v>1</v>
      </c>
      <c r="Y11" s="27">
        <f>_xlfn.XLOOKUP(A11,'13_calc_waste_summary'!A$2:A$11,'13_calc_waste_summary'!Q$2:Q$11)</f>
        <v>1</v>
      </c>
      <c r="Z11" s="24">
        <f t="shared" si="1"/>
        <v>6</v>
      </c>
      <c r="AA11" s="24">
        <f t="shared" si="2"/>
        <v>10</v>
      </c>
      <c r="AB11" s="15" t="str">
        <f t="shared" si="3"/>
        <v>Lower Portfolio Priority</v>
      </c>
      <c r="AC11" s="15" t="str">
        <f t="shared" si="4"/>
        <v>Maintain performance + monitor KPIs</v>
      </c>
      <c r="AD11">
        <f t="shared" si="5"/>
        <v>1</v>
      </c>
      <c r="AE11" t="str">
        <f t="shared" si="6"/>
        <v>Monitor</v>
      </c>
      <c r="AI11" s="50"/>
      <c r="AJ11" s="50"/>
      <c r="AK11" s="50"/>
      <c r="AL11" s="50"/>
      <c r="AM11" s="50"/>
      <c r="AN11" s="50"/>
      <c r="AO11" s="50"/>
      <c r="AP11" s="50"/>
    </row>
  </sheetData>
  <mergeCells count="1">
    <mergeCell ref="AI3:AP11"/>
  </mergeCell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790A2-89C2-4248-83D3-66813A67A239}">
  <dimension ref="A1:K11"/>
  <sheetViews>
    <sheetView workbookViewId="0">
      <selection activeCell="C24" sqref="C24"/>
    </sheetView>
  </sheetViews>
  <sheetFormatPr defaultRowHeight="14.25"/>
  <cols>
    <col min="1" max="1" width="19.375" style="24" customWidth="1"/>
    <col min="2" max="2" width="29.375" style="24" customWidth="1"/>
    <col min="3" max="3" width="29.625" style="24" customWidth="1"/>
  </cols>
  <sheetData>
    <row r="1" spans="1:11" ht="15">
      <c r="A1" s="43" t="s">
        <v>1125</v>
      </c>
      <c r="B1" s="43" t="s">
        <v>1126</v>
      </c>
      <c r="C1" s="43" t="s">
        <v>1127</v>
      </c>
    </row>
    <row r="2" spans="1:11" ht="28.5">
      <c r="A2" s="15" t="s">
        <v>1130</v>
      </c>
      <c r="B2" s="15" t="s">
        <v>1132</v>
      </c>
      <c r="C2" s="15" t="s">
        <v>1133</v>
      </c>
    </row>
    <row r="3" spans="1:11" ht="28.5">
      <c r="A3" s="15" t="s">
        <v>1134</v>
      </c>
      <c r="B3" s="15" t="s">
        <v>1135</v>
      </c>
      <c r="C3" s="15" t="s">
        <v>1136</v>
      </c>
      <c r="F3" s="51" t="s">
        <v>1154</v>
      </c>
      <c r="G3" s="51"/>
      <c r="H3" s="51"/>
      <c r="I3" s="51"/>
      <c r="J3" s="51"/>
      <c r="K3" s="51"/>
    </row>
    <row r="4" spans="1:11" ht="15">
      <c r="A4" s="15" t="s">
        <v>1128</v>
      </c>
      <c r="B4" s="15" t="s">
        <v>32</v>
      </c>
      <c r="C4" s="15" t="s">
        <v>1137</v>
      </c>
      <c r="D4" s="34"/>
      <c r="E4" s="34"/>
      <c r="F4" s="51"/>
      <c r="G4" s="51"/>
      <c r="H4" s="51"/>
      <c r="I4" s="51"/>
      <c r="J4" s="51"/>
      <c r="K4" s="51"/>
    </row>
    <row r="5" spans="1:11" ht="28.5">
      <c r="A5" s="15" t="s">
        <v>1129</v>
      </c>
      <c r="B5" s="15" t="s">
        <v>32</v>
      </c>
      <c r="C5" s="15" t="s">
        <v>1138</v>
      </c>
      <c r="F5" s="51"/>
      <c r="G5" s="51"/>
      <c r="H5" s="51"/>
      <c r="I5" s="51"/>
      <c r="J5" s="51"/>
      <c r="K5" s="51"/>
    </row>
    <row r="6" spans="1:11" ht="28.5">
      <c r="A6" s="15" t="s">
        <v>1139</v>
      </c>
      <c r="B6" s="15" t="s">
        <v>18</v>
      </c>
      <c r="C6" s="15" t="s">
        <v>1140</v>
      </c>
      <c r="F6" s="51"/>
      <c r="G6" s="51"/>
      <c r="H6" s="51"/>
      <c r="I6" s="51"/>
      <c r="J6" s="51"/>
      <c r="K6" s="51"/>
    </row>
    <row r="7" spans="1:11" ht="28.5">
      <c r="A7" s="15" t="s">
        <v>1141</v>
      </c>
      <c r="B7" s="15" t="s">
        <v>32</v>
      </c>
      <c r="C7" s="15" t="s">
        <v>1142</v>
      </c>
      <c r="F7" s="51"/>
      <c r="G7" s="51"/>
      <c r="H7" s="51"/>
      <c r="I7" s="51"/>
      <c r="J7" s="51"/>
      <c r="K7" s="51"/>
    </row>
    <row r="8" spans="1:11" ht="28.5">
      <c r="A8" s="15" t="s">
        <v>1143</v>
      </c>
      <c r="B8" s="15" t="s">
        <v>1144</v>
      </c>
      <c r="C8" s="15" t="s">
        <v>1145</v>
      </c>
      <c r="F8" s="51"/>
      <c r="G8" s="51"/>
      <c r="H8" s="51"/>
      <c r="I8" s="51"/>
      <c r="J8" s="51"/>
      <c r="K8" s="51"/>
    </row>
    <row r="9" spans="1:11" ht="28.5">
      <c r="A9" s="15" t="s">
        <v>1065</v>
      </c>
      <c r="B9" s="15" t="s">
        <v>1146</v>
      </c>
      <c r="C9" s="15" t="s">
        <v>1147</v>
      </c>
      <c r="F9" s="51"/>
      <c r="G9" s="51"/>
      <c r="H9" s="51"/>
      <c r="I9" s="51"/>
      <c r="J9" s="51"/>
      <c r="K9" s="51"/>
    </row>
    <row r="10" spans="1:11" ht="28.5">
      <c r="A10" s="15" t="s">
        <v>1148</v>
      </c>
      <c r="B10" s="15" t="s">
        <v>1149</v>
      </c>
      <c r="C10" s="15" t="s">
        <v>1150</v>
      </c>
      <c r="F10" s="51"/>
      <c r="G10" s="51"/>
      <c r="H10" s="51"/>
      <c r="I10" s="51"/>
      <c r="J10" s="51"/>
      <c r="K10" s="51"/>
    </row>
    <row r="11" spans="1:11" ht="42.75">
      <c r="A11" s="15" t="s">
        <v>1151</v>
      </c>
      <c r="B11" s="15" t="s">
        <v>1152</v>
      </c>
      <c r="C11" s="15" t="s">
        <v>1153</v>
      </c>
    </row>
  </sheetData>
  <mergeCells count="1">
    <mergeCell ref="F3:K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1"/>
  <sheetViews>
    <sheetView workbookViewId="0"/>
  </sheetViews>
  <sheetFormatPr defaultRowHeight="14.25"/>
  <cols>
    <col min="1" max="26" width="18" customWidth="1"/>
  </cols>
  <sheetData>
    <row r="1" spans="1:22" ht="45">
      <c r="A1" s="1" t="s">
        <v>0</v>
      </c>
      <c r="B1" s="1" t="s">
        <v>1</v>
      </c>
      <c r="C1" s="1" t="s">
        <v>2</v>
      </c>
      <c r="D1" s="1" t="s">
        <v>3</v>
      </c>
      <c r="E1" s="1" t="s">
        <v>4</v>
      </c>
      <c r="F1" s="1" t="s">
        <v>267</v>
      </c>
      <c r="G1" s="1" t="s">
        <v>268</v>
      </c>
      <c r="H1" s="1" t="s">
        <v>269</v>
      </c>
      <c r="I1" s="1" t="s">
        <v>270</v>
      </c>
      <c r="J1" s="1" t="s">
        <v>271</v>
      </c>
      <c r="K1" s="1" t="s">
        <v>272</v>
      </c>
      <c r="L1" s="1" t="s">
        <v>273</v>
      </c>
      <c r="M1" s="1" t="s">
        <v>274</v>
      </c>
      <c r="N1" s="1" t="s">
        <v>275</v>
      </c>
      <c r="O1" s="1" t="s">
        <v>276</v>
      </c>
      <c r="P1" s="1" t="s">
        <v>277</v>
      </c>
      <c r="Q1" s="1" t="s">
        <v>278</v>
      </c>
      <c r="R1" s="1" t="s">
        <v>279</v>
      </c>
      <c r="S1" s="1" t="s">
        <v>280</v>
      </c>
      <c r="T1" s="1" t="s">
        <v>99</v>
      </c>
      <c r="U1" s="1" t="s">
        <v>98</v>
      </c>
      <c r="V1" s="1" t="s">
        <v>110</v>
      </c>
    </row>
    <row r="2" spans="1:22" ht="99.75">
      <c r="A2" s="3" t="s">
        <v>11</v>
      </c>
      <c r="B2" s="3" t="s">
        <v>12</v>
      </c>
      <c r="C2" s="3" t="s">
        <v>13</v>
      </c>
      <c r="D2" s="3" t="s">
        <v>14</v>
      </c>
      <c r="E2" s="3" t="s">
        <v>15</v>
      </c>
      <c r="F2" s="3" t="s">
        <v>281</v>
      </c>
      <c r="G2" s="3" t="s">
        <v>282</v>
      </c>
      <c r="H2" s="3" t="s">
        <v>283</v>
      </c>
      <c r="I2" s="3" t="s">
        <v>284</v>
      </c>
      <c r="J2" s="3" t="s">
        <v>285</v>
      </c>
      <c r="K2" s="3" t="s">
        <v>286</v>
      </c>
      <c r="L2" s="3" t="s">
        <v>287</v>
      </c>
      <c r="M2" s="3" t="s">
        <v>288</v>
      </c>
      <c r="N2" s="3" t="s">
        <v>289</v>
      </c>
      <c r="O2" s="3" t="s">
        <v>290</v>
      </c>
      <c r="P2" s="3"/>
      <c r="Q2" s="3" t="s">
        <v>291</v>
      </c>
      <c r="R2" s="3" t="s">
        <v>292</v>
      </c>
      <c r="S2" s="3" t="s">
        <v>293</v>
      </c>
      <c r="T2" s="3" t="s">
        <v>294</v>
      </c>
      <c r="U2" s="3" t="s">
        <v>295</v>
      </c>
      <c r="V2" s="3" t="s">
        <v>296</v>
      </c>
    </row>
    <row r="3" spans="1:22" ht="99.75">
      <c r="A3" s="3" t="s">
        <v>17</v>
      </c>
      <c r="B3" s="3" t="s">
        <v>18</v>
      </c>
      <c r="C3" s="3" t="s">
        <v>19</v>
      </c>
      <c r="D3" s="3" t="s">
        <v>19</v>
      </c>
      <c r="E3" s="3" t="s">
        <v>15</v>
      </c>
      <c r="F3" s="3" t="s">
        <v>297</v>
      </c>
      <c r="G3" s="3" t="s">
        <v>282</v>
      </c>
      <c r="H3" s="3" t="s">
        <v>298</v>
      </c>
      <c r="I3" s="3" t="s">
        <v>299</v>
      </c>
      <c r="J3" s="3" t="s">
        <v>300</v>
      </c>
      <c r="K3" s="3" t="s">
        <v>301</v>
      </c>
      <c r="L3" s="3" t="s">
        <v>302</v>
      </c>
      <c r="M3" s="3" t="s">
        <v>303</v>
      </c>
      <c r="N3" s="3" t="s">
        <v>304</v>
      </c>
      <c r="O3" s="3" t="s">
        <v>305</v>
      </c>
      <c r="P3" s="3"/>
      <c r="Q3" s="3" t="s">
        <v>291</v>
      </c>
      <c r="R3" s="3" t="s">
        <v>306</v>
      </c>
      <c r="S3" s="3" t="s">
        <v>307</v>
      </c>
      <c r="T3" s="3" t="s">
        <v>294</v>
      </c>
      <c r="U3" s="3" t="s">
        <v>295</v>
      </c>
      <c r="V3" s="3" t="s">
        <v>308</v>
      </c>
    </row>
    <row r="4" spans="1:22" ht="99.75">
      <c r="A4" s="3" t="s">
        <v>20</v>
      </c>
      <c r="B4" s="3" t="s">
        <v>21</v>
      </c>
      <c r="C4" s="3" t="s">
        <v>22</v>
      </c>
      <c r="D4" s="3" t="s">
        <v>23</v>
      </c>
      <c r="E4" s="3" t="s">
        <v>15</v>
      </c>
      <c r="F4" s="3" t="s">
        <v>309</v>
      </c>
      <c r="G4" s="3" t="s">
        <v>282</v>
      </c>
      <c r="H4" s="3" t="s">
        <v>310</v>
      </c>
      <c r="I4" s="3" t="s">
        <v>311</v>
      </c>
      <c r="J4" s="3" t="s">
        <v>90</v>
      </c>
      <c r="K4" s="3" t="s">
        <v>312</v>
      </c>
      <c r="L4" s="3" t="s">
        <v>313</v>
      </c>
      <c r="M4" s="3" t="s">
        <v>314</v>
      </c>
      <c r="N4" s="3" t="s">
        <v>315</v>
      </c>
      <c r="O4" s="3" t="s">
        <v>316</v>
      </c>
      <c r="P4" s="3"/>
      <c r="Q4" s="3" t="s">
        <v>291</v>
      </c>
      <c r="R4" s="3" t="s">
        <v>292</v>
      </c>
      <c r="S4" s="3" t="s">
        <v>293</v>
      </c>
      <c r="T4" s="3" t="s">
        <v>294</v>
      </c>
      <c r="U4" s="3" t="s">
        <v>295</v>
      </c>
      <c r="V4" s="3" t="s">
        <v>317</v>
      </c>
    </row>
    <row r="5" spans="1:22" ht="99.75">
      <c r="A5" s="3" t="s">
        <v>24</v>
      </c>
      <c r="B5" s="3" t="s">
        <v>25</v>
      </c>
      <c r="C5" s="3" t="s">
        <v>26</v>
      </c>
      <c r="D5" s="3" t="s">
        <v>27</v>
      </c>
      <c r="E5" s="3" t="s">
        <v>15</v>
      </c>
      <c r="F5" s="3" t="s">
        <v>318</v>
      </c>
      <c r="G5" s="3" t="s">
        <v>282</v>
      </c>
      <c r="H5" s="3" t="s">
        <v>319</v>
      </c>
      <c r="I5" s="3" t="s">
        <v>320</v>
      </c>
      <c r="J5" s="3" t="s">
        <v>321</v>
      </c>
      <c r="K5" s="3" t="s">
        <v>322</v>
      </c>
      <c r="L5" s="3" t="s">
        <v>323</v>
      </c>
      <c r="M5" s="3" t="s">
        <v>324</v>
      </c>
      <c r="N5" s="3" t="s">
        <v>325</v>
      </c>
      <c r="O5" s="3" t="s">
        <v>326</v>
      </c>
      <c r="P5" s="3"/>
      <c r="Q5" s="3" t="s">
        <v>291</v>
      </c>
      <c r="R5" s="3" t="s">
        <v>327</v>
      </c>
      <c r="S5" s="3" t="s">
        <v>293</v>
      </c>
      <c r="T5" s="3" t="s">
        <v>294</v>
      </c>
      <c r="U5" s="3" t="s">
        <v>295</v>
      </c>
      <c r="V5" s="3" t="s">
        <v>328</v>
      </c>
    </row>
    <row r="6" spans="1:22" ht="99.75">
      <c r="A6" s="3" t="s">
        <v>28</v>
      </c>
      <c r="B6" s="3" t="s">
        <v>29</v>
      </c>
      <c r="C6" s="3" t="s">
        <v>30</v>
      </c>
      <c r="D6" s="3" t="s">
        <v>30</v>
      </c>
      <c r="E6" s="3" t="s">
        <v>15</v>
      </c>
      <c r="F6" s="3" t="s">
        <v>329</v>
      </c>
      <c r="G6" s="3" t="s">
        <v>282</v>
      </c>
      <c r="H6" s="3" t="s">
        <v>330</v>
      </c>
      <c r="I6" s="3" t="s">
        <v>331</v>
      </c>
      <c r="J6" s="3" t="s">
        <v>91</v>
      </c>
      <c r="K6" s="3" t="s">
        <v>332</v>
      </c>
      <c r="L6" s="3" t="s">
        <v>333</v>
      </c>
      <c r="M6" s="3" t="s">
        <v>334</v>
      </c>
      <c r="N6" s="3" t="s">
        <v>335</v>
      </c>
      <c r="O6" s="3" t="s">
        <v>336</v>
      </c>
      <c r="P6" s="3"/>
      <c r="Q6" s="3" t="s">
        <v>291</v>
      </c>
      <c r="R6" s="3" t="s">
        <v>292</v>
      </c>
      <c r="S6" s="3" t="s">
        <v>307</v>
      </c>
      <c r="T6" s="3" t="s">
        <v>294</v>
      </c>
      <c r="U6" s="3" t="s">
        <v>295</v>
      </c>
      <c r="V6" s="3" t="s">
        <v>337</v>
      </c>
    </row>
    <row r="7" spans="1:22" ht="99.75">
      <c r="A7" s="3" t="s">
        <v>31</v>
      </c>
      <c r="B7" s="3" t="s">
        <v>32</v>
      </c>
      <c r="C7" s="3" t="s">
        <v>33</v>
      </c>
      <c r="D7" s="3" t="s">
        <v>33</v>
      </c>
      <c r="E7" s="3" t="s">
        <v>15</v>
      </c>
      <c r="F7" s="3" t="s">
        <v>338</v>
      </c>
      <c r="G7" s="3" t="s">
        <v>282</v>
      </c>
      <c r="H7" s="3" t="s">
        <v>339</v>
      </c>
      <c r="I7" s="3" t="s">
        <v>340</v>
      </c>
      <c r="J7" s="3" t="s">
        <v>341</v>
      </c>
      <c r="K7" s="3" t="s">
        <v>96</v>
      </c>
      <c r="L7" s="3" t="s">
        <v>313</v>
      </c>
      <c r="M7" s="3" t="s">
        <v>342</v>
      </c>
      <c r="N7" s="3" t="s">
        <v>343</v>
      </c>
      <c r="O7" s="3" t="s">
        <v>344</v>
      </c>
      <c r="P7" s="3"/>
      <c r="Q7" s="3" t="s">
        <v>291</v>
      </c>
      <c r="R7" s="3" t="s">
        <v>292</v>
      </c>
      <c r="S7" s="3" t="s">
        <v>293</v>
      </c>
      <c r="T7" s="3" t="s">
        <v>294</v>
      </c>
      <c r="U7" s="3" t="s">
        <v>295</v>
      </c>
      <c r="V7" s="3" t="s">
        <v>345</v>
      </c>
    </row>
    <row r="8" spans="1:22" ht="99.75">
      <c r="A8" s="3" t="s">
        <v>34</v>
      </c>
      <c r="B8" s="3" t="s">
        <v>35</v>
      </c>
      <c r="C8" s="3" t="s">
        <v>36</v>
      </c>
      <c r="D8" s="3" t="s">
        <v>37</v>
      </c>
      <c r="E8" s="3" t="s">
        <v>15</v>
      </c>
      <c r="F8" s="3" t="s">
        <v>346</v>
      </c>
      <c r="G8" s="3" t="s">
        <v>282</v>
      </c>
      <c r="H8" s="3" t="s">
        <v>347</v>
      </c>
      <c r="I8" s="3" t="s">
        <v>348</v>
      </c>
      <c r="J8" s="3" t="s">
        <v>349</v>
      </c>
      <c r="K8" s="3" t="s">
        <v>350</v>
      </c>
      <c r="L8" s="3" t="s">
        <v>351</v>
      </c>
      <c r="M8" s="3" t="s">
        <v>304</v>
      </c>
      <c r="N8" s="3" t="s">
        <v>325</v>
      </c>
      <c r="O8" s="3" t="s">
        <v>352</v>
      </c>
      <c r="P8" s="3"/>
      <c r="Q8" s="3" t="s">
        <v>291</v>
      </c>
      <c r="R8" s="3" t="s">
        <v>327</v>
      </c>
      <c r="S8" s="3" t="s">
        <v>293</v>
      </c>
      <c r="T8" s="3" t="s">
        <v>294</v>
      </c>
      <c r="U8" s="3" t="s">
        <v>295</v>
      </c>
      <c r="V8" s="3" t="s">
        <v>353</v>
      </c>
    </row>
    <row r="9" spans="1:22" ht="99.75">
      <c r="A9" s="3" t="s">
        <v>38</v>
      </c>
      <c r="B9" s="3" t="s">
        <v>39</v>
      </c>
      <c r="C9" s="3" t="s">
        <v>40</v>
      </c>
      <c r="D9" s="3" t="s">
        <v>40</v>
      </c>
      <c r="E9" s="3" t="s">
        <v>15</v>
      </c>
      <c r="F9" s="3" t="s">
        <v>354</v>
      </c>
      <c r="G9" s="3" t="s">
        <v>282</v>
      </c>
      <c r="H9" s="3" t="s">
        <v>355</v>
      </c>
      <c r="I9" s="3" t="s">
        <v>356</v>
      </c>
      <c r="J9" s="3" t="s">
        <v>357</v>
      </c>
      <c r="K9" s="3" t="s">
        <v>358</v>
      </c>
      <c r="L9" s="3" t="s">
        <v>359</v>
      </c>
      <c r="M9" s="3" t="s">
        <v>360</v>
      </c>
      <c r="N9" s="3" t="s">
        <v>335</v>
      </c>
      <c r="O9" s="3" t="s">
        <v>361</v>
      </c>
      <c r="P9" s="3"/>
      <c r="Q9" s="3" t="s">
        <v>291</v>
      </c>
      <c r="R9" s="3" t="s">
        <v>292</v>
      </c>
      <c r="S9" s="3" t="s">
        <v>307</v>
      </c>
      <c r="T9" s="3" t="s">
        <v>294</v>
      </c>
      <c r="U9" s="3" t="s">
        <v>295</v>
      </c>
      <c r="V9" s="3" t="s">
        <v>362</v>
      </c>
    </row>
    <row r="10" spans="1:22" ht="99.75">
      <c r="A10" s="3" t="s">
        <v>41</v>
      </c>
      <c r="B10" s="3" t="s">
        <v>42</v>
      </c>
      <c r="C10" s="3" t="s">
        <v>13</v>
      </c>
      <c r="D10" s="3" t="s">
        <v>14</v>
      </c>
      <c r="E10" s="3" t="s">
        <v>15</v>
      </c>
      <c r="F10" s="3" t="s">
        <v>281</v>
      </c>
      <c r="G10" s="3" t="s">
        <v>282</v>
      </c>
      <c r="H10" s="3" t="s">
        <v>283</v>
      </c>
      <c r="I10" s="3" t="s">
        <v>284</v>
      </c>
      <c r="J10" s="3" t="s">
        <v>285</v>
      </c>
      <c r="K10" s="3" t="s">
        <v>286</v>
      </c>
      <c r="L10" s="3" t="s">
        <v>287</v>
      </c>
      <c r="M10" s="3" t="s">
        <v>288</v>
      </c>
      <c r="N10" s="3" t="s">
        <v>289</v>
      </c>
      <c r="O10" s="3" t="s">
        <v>290</v>
      </c>
      <c r="P10" s="3"/>
      <c r="Q10" s="3" t="s">
        <v>291</v>
      </c>
      <c r="R10" s="3" t="s">
        <v>292</v>
      </c>
      <c r="S10" s="3" t="s">
        <v>293</v>
      </c>
      <c r="T10" s="3" t="s">
        <v>294</v>
      </c>
      <c r="U10" s="3" t="s">
        <v>295</v>
      </c>
      <c r="V10" s="3" t="s">
        <v>296</v>
      </c>
    </row>
    <row r="11" spans="1:22" ht="99.75">
      <c r="A11" s="3" t="s">
        <v>43</v>
      </c>
      <c r="B11" s="3" t="s">
        <v>44</v>
      </c>
      <c r="C11" s="3" t="s">
        <v>45</v>
      </c>
      <c r="D11" s="3" t="s">
        <v>45</v>
      </c>
      <c r="E11" s="3" t="s">
        <v>15</v>
      </c>
      <c r="F11" s="3" t="s">
        <v>363</v>
      </c>
      <c r="G11" s="3" t="s">
        <v>282</v>
      </c>
      <c r="H11" s="3" t="s">
        <v>364</v>
      </c>
      <c r="I11" s="3" t="s">
        <v>365</v>
      </c>
      <c r="J11" s="3" t="s">
        <v>366</v>
      </c>
      <c r="K11" s="3" t="s">
        <v>367</v>
      </c>
      <c r="L11" s="3" t="s">
        <v>368</v>
      </c>
      <c r="M11" s="3" t="s">
        <v>314</v>
      </c>
      <c r="N11" s="3" t="s">
        <v>369</v>
      </c>
      <c r="O11" s="3" t="s">
        <v>370</v>
      </c>
      <c r="P11" s="3"/>
      <c r="Q11" s="3" t="s">
        <v>291</v>
      </c>
      <c r="R11" s="3" t="s">
        <v>292</v>
      </c>
      <c r="S11" s="3" t="s">
        <v>293</v>
      </c>
      <c r="T11" s="3" t="s">
        <v>294</v>
      </c>
      <c r="U11" s="3" t="s">
        <v>295</v>
      </c>
      <c r="V11" s="3" t="s">
        <v>371</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11"/>
  <sheetViews>
    <sheetView workbookViewId="0"/>
  </sheetViews>
  <sheetFormatPr defaultRowHeight="14.25"/>
  <cols>
    <col min="1" max="26" width="18" customWidth="1"/>
  </cols>
  <sheetData>
    <row r="1" spans="1:22" ht="30">
      <c r="A1" s="1" t="s">
        <v>0</v>
      </c>
      <c r="B1" s="1" t="s">
        <v>1</v>
      </c>
      <c r="C1" s="1" t="s">
        <v>2</v>
      </c>
      <c r="D1" s="1" t="s">
        <v>3</v>
      </c>
      <c r="E1" s="1" t="s">
        <v>4</v>
      </c>
      <c r="F1" s="1" t="s">
        <v>372</v>
      </c>
      <c r="G1" s="1" t="s">
        <v>373</v>
      </c>
      <c r="H1" s="1" t="s">
        <v>374</v>
      </c>
      <c r="I1" s="1" t="s">
        <v>375</v>
      </c>
      <c r="J1" s="1" t="s">
        <v>376</v>
      </c>
      <c r="K1" s="1" t="s">
        <v>377</v>
      </c>
      <c r="L1" s="1" t="s">
        <v>378</v>
      </c>
      <c r="M1" s="1" t="s">
        <v>379</v>
      </c>
      <c r="N1" s="1" t="s">
        <v>380</v>
      </c>
      <c r="O1" s="1" t="s">
        <v>381</v>
      </c>
      <c r="P1" s="1" t="s">
        <v>382</v>
      </c>
      <c r="Q1" s="1" t="s">
        <v>383</v>
      </c>
      <c r="R1" s="1" t="s">
        <v>384</v>
      </c>
      <c r="S1" s="1" t="s">
        <v>385</v>
      </c>
      <c r="T1" s="1" t="s">
        <v>98</v>
      </c>
      <c r="U1" s="1" t="s">
        <v>110</v>
      </c>
      <c r="V1" s="1" t="s">
        <v>75</v>
      </c>
    </row>
    <row r="2" spans="1:22" ht="114">
      <c r="A2" s="3" t="s">
        <v>11</v>
      </c>
      <c r="B2" s="3" t="s">
        <v>12</v>
      </c>
      <c r="C2" s="3" t="s">
        <v>13</v>
      </c>
      <c r="D2" s="3" t="s">
        <v>14</v>
      </c>
      <c r="E2" s="3" t="s">
        <v>15</v>
      </c>
      <c r="F2" s="3" t="s">
        <v>386</v>
      </c>
      <c r="G2" s="3" t="s">
        <v>387</v>
      </c>
      <c r="H2" s="3" t="s">
        <v>388</v>
      </c>
      <c r="I2" s="3" t="s">
        <v>389</v>
      </c>
      <c r="J2" s="3" t="s">
        <v>390</v>
      </c>
      <c r="K2" s="3" t="s">
        <v>390</v>
      </c>
      <c r="L2" s="3" t="s">
        <v>391</v>
      </c>
      <c r="M2" s="3" t="s">
        <v>392</v>
      </c>
      <c r="N2" s="3" t="s">
        <v>393</v>
      </c>
      <c r="O2" s="3" t="s">
        <v>392</v>
      </c>
      <c r="P2" s="3" t="s">
        <v>390</v>
      </c>
      <c r="Q2" s="3" t="s">
        <v>390</v>
      </c>
      <c r="R2" s="3" t="s">
        <v>282</v>
      </c>
      <c r="S2" s="3" t="s">
        <v>394</v>
      </c>
      <c r="T2" s="3" t="s">
        <v>395</v>
      </c>
      <c r="U2" s="3" t="s">
        <v>396</v>
      </c>
      <c r="V2" s="3" t="s">
        <v>397</v>
      </c>
    </row>
    <row r="3" spans="1:22" ht="114">
      <c r="A3" s="3" t="s">
        <v>17</v>
      </c>
      <c r="B3" s="3" t="s">
        <v>18</v>
      </c>
      <c r="C3" s="3" t="s">
        <v>19</v>
      </c>
      <c r="D3" s="3" t="s">
        <v>19</v>
      </c>
      <c r="E3" s="3" t="s">
        <v>15</v>
      </c>
      <c r="F3" s="3" t="s">
        <v>398</v>
      </c>
      <c r="G3" s="3" t="s">
        <v>392</v>
      </c>
      <c r="H3" s="3" t="s">
        <v>399</v>
      </c>
      <c r="I3" s="3" t="s">
        <v>400</v>
      </c>
      <c r="J3" s="3" t="s">
        <v>392</v>
      </c>
      <c r="K3" s="3" t="s">
        <v>401</v>
      </c>
      <c r="L3" s="3" t="s">
        <v>391</v>
      </c>
      <c r="M3" s="3" t="s">
        <v>401</v>
      </c>
      <c r="N3" s="3" t="s">
        <v>402</v>
      </c>
      <c r="O3" s="3" t="s">
        <v>392</v>
      </c>
      <c r="P3" s="3" t="s">
        <v>403</v>
      </c>
      <c r="Q3" s="3" t="s">
        <v>401</v>
      </c>
      <c r="R3" s="3" t="s">
        <v>282</v>
      </c>
      <c r="S3" s="3" t="s">
        <v>394</v>
      </c>
      <c r="T3" s="3" t="s">
        <v>395</v>
      </c>
      <c r="U3" s="3" t="s">
        <v>404</v>
      </c>
      <c r="V3" s="3" t="s">
        <v>397</v>
      </c>
    </row>
    <row r="4" spans="1:22" ht="114">
      <c r="A4" s="3" t="s">
        <v>20</v>
      </c>
      <c r="B4" s="3" t="s">
        <v>21</v>
      </c>
      <c r="C4" s="3" t="s">
        <v>22</v>
      </c>
      <c r="D4" s="3" t="s">
        <v>23</v>
      </c>
      <c r="E4" s="3" t="s">
        <v>15</v>
      </c>
      <c r="F4" s="3" t="s">
        <v>405</v>
      </c>
      <c r="G4" s="3" t="s">
        <v>387</v>
      </c>
      <c r="H4" s="3" t="s">
        <v>406</v>
      </c>
      <c r="I4" s="3"/>
      <c r="J4" s="3" t="s">
        <v>390</v>
      </c>
      <c r="K4" s="3" t="s">
        <v>390</v>
      </c>
      <c r="L4" s="3" t="s">
        <v>391</v>
      </c>
      <c r="M4" s="3" t="s">
        <v>392</v>
      </c>
      <c r="N4" s="3" t="s">
        <v>393</v>
      </c>
      <c r="O4" s="3" t="s">
        <v>392</v>
      </c>
      <c r="P4" s="3" t="s">
        <v>407</v>
      </c>
      <c r="Q4" s="3" t="s">
        <v>392</v>
      </c>
      <c r="R4" s="3" t="s">
        <v>282</v>
      </c>
      <c r="S4" s="3" t="s">
        <v>394</v>
      </c>
      <c r="T4" s="3" t="s">
        <v>395</v>
      </c>
      <c r="U4" s="3" t="s">
        <v>408</v>
      </c>
      <c r="V4" s="3" t="s">
        <v>397</v>
      </c>
    </row>
    <row r="5" spans="1:22" ht="114">
      <c r="A5" s="3" t="s">
        <v>24</v>
      </c>
      <c r="B5" s="3" t="s">
        <v>25</v>
      </c>
      <c r="C5" s="3" t="s">
        <v>26</v>
      </c>
      <c r="D5" s="3" t="s">
        <v>27</v>
      </c>
      <c r="E5" s="3" t="s">
        <v>15</v>
      </c>
      <c r="F5" s="3" t="s">
        <v>409</v>
      </c>
      <c r="G5" s="3" t="s">
        <v>387</v>
      </c>
      <c r="H5" s="3" t="s">
        <v>410</v>
      </c>
      <c r="I5" s="3"/>
      <c r="J5" s="3" t="s">
        <v>390</v>
      </c>
      <c r="K5" s="3" t="s">
        <v>390</v>
      </c>
      <c r="L5" s="3" t="s">
        <v>390</v>
      </c>
      <c r="M5" s="3" t="s">
        <v>390</v>
      </c>
      <c r="N5" s="3" t="s">
        <v>390</v>
      </c>
      <c r="O5" s="3" t="s">
        <v>390</v>
      </c>
      <c r="P5" s="3" t="s">
        <v>390</v>
      </c>
      <c r="Q5" s="3" t="s">
        <v>390</v>
      </c>
      <c r="R5" s="3" t="s">
        <v>282</v>
      </c>
      <c r="S5" s="3" t="s">
        <v>394</v>
      </c>
      <c r="T5" s="3" t="s">
        <v>395</v>
      </c>
      <c r="U5" s="3" t="s">
        <v>411</v>
      </c>
      <c r="V5" s="3" t="s">
        <v>397</v>
      </c>
    </row>
    <row r="6" spans="1:22" ht="114">
      <c r="A6" s="3" t="s">
        <v>28</v>
      </c>
      <c r="B6" s="3" t="s">
        <v>29</v>
      </c>
      <c r="C6" s="3" t="s">
        <v>30</v>
      </c>
      <c r="D6" s="3" t="s">
        <v>30</v>
      </c>
      <c r="E6" s="3" t="s">
        <v>15</v>
      </c>
      <c r="F6" s="3" t="s">
        <v>412</v>
      </c>
      <c r="G6" s="3" t="s">
        <v>413</v>
      </c>
      <c r="H6" s="3" t="s">
        <v>414</v>
      </c>
      <c r="I6" s="3"/>
      <c r="J6" s="3" t="s">
        <v>390</v>
      </c>
      <c r="K6" s="3" t="s">
        <v>390</v>
      </c>
      <c r="L6" s="3" t="s">
        <v>390</v>
      </c>
      <c r="M6" s="3" t="s">
        <v>390</v>
      </c>
      <c r="N6" s="3" t="s">
        <v>390</v>
      </c>
      <c r="O6" s="3" t="s">
        <v>390</v>
      </c>
      <c r="P6" s="3" t="s">
        <v>390</v>
      </c>
      <c r="Q6" s="3" t="s">
        <v>390</v>
      </c>
      <c r="R6" s="3" t="s">
        <v>282</v>
      </c>
      <c r="S6" s="3" t="s">
        <v>394</v>
      </c>
      <c r="T6" s="3" t="s">
        <v>395</v>
      </c>
      <c r="U6" s="3" t="s">
        <v>415</v>
      </c>
      <c r="V6" s="3" t="s">
        <v>397</v>
      </c>
    </row>
    <row r="7" spans="1:22" ht="114">
      <c r="A7" s="3" t="s">
        <v>31</v>
      </c>
      <c r="B7" s="3" t="s">
        <v>32</v>
      </c>
      <c r="C7" s="3" t="s">
        <v>33</v>
      </c>
      <c r="D7" s="3" t="s">
        <v>33</v>
      </c>
      <c r="E7" s="3" t="s">
        <v>15</v>
      </c>
      <c r="F7" s="3" t="s">
        <v>416</v>
      </c>
      <c r="G7" s="3" t="s">
        <v>387</v>
      </c>
      <c r="H7" s="3" t="s">
        <v>417</v>
      </c>
      <c r="I7" s="3" t="s">
        <v>418</v>
      </c>
      <c r="J7" s="3" t="s">
        <v>413</v>
      </c>
      <c r="K7" s="3" t="s">
        <v>401</v>
      </c>
      <c r="L7" s="3" t="s">
        <v>391</v>
      </c>
      <c r="M7" s="3" t="s">
        <v>392</v>
      </c>
      <c r="N7" s="3" t="s">
        <v>403</v>
      </c>
      <c r="O7" s="3" t="s">
        <v>392</v>
      </c>
      <c r="P7" s="3" t="s">
        <v>393</v>
      </c>
      <c r="Q7" s="3" t="s">
        <v>387</v>
      </c>
      <c r="R7" s="3" t="s">
        <v>282</v>
      </c>
      <c r="S7" s="3" t="s">
        <v>394</v>
      </c>
      <c r="T7" s="3" t="s">
        <v>395</v>
      </c>
      <c r="U7" s="3" t="s">
        <v>419</v>
      </c>
      <c r="V7" s="3" t="s">
        <v>397</v>
      </c>
    </row>
    <row r="8" spans="1:22" ht="114">
      <c r="A8" s="3" t="s">
        <v>34</v>
      </c>
      <c r="B8" s="3" t="s">
        <v>35</v>
      </c>
      <c r="C8" s="3" t="s">
        <v>36</v>
      </c>
      <c r="D8" s="3" t="s">
        <v>37</v>
      </c>
      <c r="E8" s="3" t="s">
        <v>15</v>
      </c>
      <c r="F8" s="3" t="s">
        <v>420</v>
      </c>
      <c r="G8" s="3" t="s">
        <v>413</v>
      </c>
      <c r="H8" s="3" t="s">
        <v>421</v>
      </c>
      <c r="I8" s="3"/>
      <c r="J8" s="3" t="s">
        <v>390</v>
      </c>
      <c r="K8" s="3" t="s">
        <v>390</v>
      </c>
      <c r="L8" s="3" t="s">
        <v>391</v>
      </c>
      <c r="M8" s="3" t="s">
        <v>392</v>
      </c>
      <c r="N8" s="3" t="s">
        <v>393</v>
      </c>
      <c r="O8" s="3" t="s">
        <v>387</v>
      </c>
      <c r="P8" s="3" t="s">
        <v>407</v>
      </c>
      <c r="Q8" s="3" t="s">
        <v>392</v>
      </c>
      <c r="R8" s="3" t="s">
        <v>282</v>
      </c>
      <c r="S8" s="3" t="s">
        <v>394</v>
      </c>
      <c r="T8" s="3" t="s">
        <v>395</v>
      </c>
      <c r="U8" s="3" t="s">
        <v>422</v>
      </c>
      <c r="V8" s="3" t="s">
        <v>397</v>
      </c>
    </row>
    <row r="9" spans="1:22" ht="114">
      <c r="A9" s="3" t="s">
        <v>38</v>
      </c>
      <c r="B9" s="3" t="s">
        <v>39</v>
      </c>
      <c r="C9" s="3" t="s">
        <v>40</v>
      </c>
      <c r="D9" s="3" t="s">
        <v>40</v>
      </c>
      <c r="E9" s="3" t="s">
        <v>15</v>
      </c>
      <c r="F9" s="3" t="s">
        <v>423</v>
      </c>
      <c r="G9" s="3" t="s">
        <v>413</v>
      </c>
      <c r="H9" s="3" t="s">
        <v>424</v>
      </c>
      <c r="I9" s="3" t="s">
        <v>425</v>
      </c>
      <c r="J9" s="3" t="s">
        <v>426</v>
      </c>
      <c r="K9" s="3" t="s">
        <v>401</v>
      </c>
      <c r="L9" s="3" t="s">
        <v>391</v>
      </c>
      <c r="M9" s="3" t="s">
        <v>392</v>
      </c>
      <c r="N9" s="3" t="s">
        <v>393</v>
      </c>
      <c r="O9" s="3" t="s">
        <v>392</v>
      </c>
      <c r="P9" s="3" t="s">
        <v>427</v>
      </c>
      <c r="Q9" s="3" t="s">
        <v>387</v>
      </c>
      <c r="R9" s="3" t="s">
        <v>282</v>
      </c>
      <c r="S9" s="3" t="s">
        <v>394</v>
      </c>
      <c r="T9" s="3" t="s">
        <v>395</v>
      </c>
      <c r="U9" s="3" t="s">
        <v>428</v>
      </c>
      <c r="V9" s="3" t="s">
        <v>397</v>
      </c>
    </row>
    <row r="10" spans="1:22" ht="114">
      <c r="A10" s="3" t="s">
        <v>41</v>
      </c>
      <c r="B10" s="3" t="s">
        <v>42</v>
      </c>
      <c r="C10" s="3" t="s">
        <v>13</v>
      </c>
      <c r="D10" s="3" t="s">
        <v>14</v>
      </c>
      <c r="E10" s="3" t="s">
        <v>15</v>
      </c>
      <c r="F10" s="3" t="s">
        <v>386</v>
      </c>
      <c r="G10" s="3" t="s">
        <v>387</v>
      </c>
      <c r="H10" s="3" t="s">
        <v>388</v>
      </c>
      <c r="I10" s="3" t="s">
        <v>389</v>
      </c>
      <c r="J10" s="3" t="s">
        <v>390</v>
      </c>
      <c r="K10" s="3" t="s">
        <v>390</v>
      </c>
      <c r="L10" s="3" t="s">
        <v>391</v>
      </c>
      <c r="M10" s="3" t="s">
        <v>392</v>
      </c>
      <c r="N10" s="3" t="s">
        <v>393</v>
      </c>
      <c r="O10" s="3" t="s">
        <v>392</v>
      </c>
      <c r="P10" s="3" t="s">
        <v>390</v>
      </c>
      <c r="Q10" s="3" t="s">
        <v>390</v>
      </c>
      <c r="R10" s="3" t="s">
        <v>282</v>
      </c>
      <c r="S10" s="3" t="s">
        <v>394</v>
      </c>
      <c r="T10" s="3" t="s">
        <v>395</v>
      </c>
      <c r="U10" s="3" t="s">
        <v>396</v>
      </c>
      <c r="V10" s="3" t="s">
        <v>397</v>
      </c>
    </row>
    <row r="11" spans="1:22" ht="114">
      <c r="A11" s="3" t="s">
        <v>43</v>
      </c>
      <c r="B11" s="3" t="s">
        <v>44</v>
      </c>
      <c r="C11" s="3" t="s">
        <v>45</v>
      </c>
      <c r="D11" s="3" t="s">
        <v>45</v>
      </c>
      <c r="E11" s="3" t="s">
        <v>15</v>
      </c>
      <c r="F11" s="3" t="s">
        <v>429</v>
      </c>
      <c r="G11" s="3" t="s">
        <v>387</v>
      </c>
      <c r="H11" s="3" t="s">
        <v>417</v>
      </c>
      <c r="I11" s="3" t="s">
        <v>418</v>
      </c>
      <c r="J11" s="3" t="s">
        <v>413</v>
      </c>
      <c r="K11" s="3" t="s">
        <v>401</v>
      </c>
      <c r="L11" s="3" t="s">
        <v>391</v>
      </c>
      <c r="M11" s="3" t="s">
        <v>392</v>
      </c>
      <c r="N11" s="3" t="s">
        <v>407</v>
      </c>
      <c r="O11" s="3" t="s">
        <v>392</v>
      </c>
      <c r="P11" s="3" t="s">
        <v>403</v>
      </c>
      <c r="Q11" s="3" t="s">
        <v>392</v>
      </c>
      <c r="R11" s="3" t="s">
        <v>282</v>
      </c>
      <c r="S11" s="3" t="s">
        <v>394</v>
      </c>
      <c r="T11" s="3" t="s">
        <v>395</v>
      </c>
      <c r="U11" s="3" t="s">
        <v>430</v>
      </c>
      <c r="V11" s="3" t="s">
        <v>397</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11"/>
  <sheetViews>
    <sheetView workbookViewId="0"/>
  </sheetViews>
  <sheetFormatPr defaultRowHeight="14.25"/>
  <cols>
    <col min="1" max="26" width="18" customWidth="1"/>
  </cols>
  <sheetData>
    <row r="1" spans="1:20" ht="30">
      <c r="A1" s="1" t="s">
        <v>0</v>
      </c>
      <c r="B1" s="1" t="s">
        <v>1</v>
      </c>
      <c r="C1" s="1" t="s">
        <v>2</v>
      </c>
      <c r="D1" s="1" t="s">
        <v>3</v>
      </c>
      <c r="E1" s="1" t="s">
        <v>4</v>
      </c>
      <c r="F1" s="1" t="s">
        <v>431</v>
      </c>
      <c r="G1" s="1" t="s">
        <v>432</v>
      </c>
      <c r="H1" s="1" t="s">
        <v>433</v>
      </c>
      <c r="I1" s="1" t="s">
        <v>434</v>
      </c>
      <c r="J1" s="1" t="s">
        <v>435</v>
      </c>
      <c r="K1" s="1" t="s">
        <v>436</v>
      </c>
      <c r="L1" s="1" t="s">
        <v>437</v>
      </c>
      <c r="M1" s="1" t="s">
        <v>438</v>
      </c>
      <c r="N1" s="1" t="s">
        <v>439</v>
      </c>
      <c r="O1" s="1" t="s">
        <v>440</v>
      </c>
      <c r="P1" s="1" t="s">
        <v>441</v>
      </c>
      <c r="Q1" s="1" t="s">
        <v>442</v>
      </c>
      <c r="R1" s="1" t="s">
        <v>443</v>
      </c>
      <c r="S1" s="1" t="s">
        <v>444</v>
      </c>
      <c r="T1" s="1" t="s">
        <v>75</v>
      </c>
    </row>
    <row r="2" spans="1:20" ht="199.5">
      <c r="A2" s="3" t="s">
        <v>11</v>
      </c>
      <c r="B2" s="3" t="s">
        <v>12</v>
      </c>
      <c r="C2" s="3" t="s">
        <v>13</v>
      </c>
      <c r="D2" s="3" t="s">
        <v>14</v>
      </c>
      <c r="E2" s="3" t="s">
        <v>15</v>
      </c>
      <c r="F2" s="3" t="s">
        <v>445</v>
      </c>
      <c r="G2" s="3" t="s">
        <v>446</v>
      </c>
      <c r="H2" s="3" t="s">
        <v>447</v>
      </c>
      <c r="I2" s="3" t="s">
        <v>448</v>
      </c>
      <c r="J2" s="3" t="s">
        <v>448</v>
      </c>
      <c r="K2" s="3" t="s">
        <v>448</v>
      </c>
      <c r="L2" s="3" t="s">
        <v>448</v>
      </c>
      <c r="M2" s="3" t="s">
        <v>448</v>
      </c>
      <c r="N2" s="3" t="s">
        <v>448</v>
      </c>
      <c r="O2" s="3" t="s">
        <v>448</v>
      </c>
      <c r="P2" s="3" t="s">
        <v>413</v>
      </c>
      <c r="Q2" s="3" t="s">
        <v>449</v>
      </c>
      <c r="R2" s="3" t="s">
        <v>450</v>
      </c>
      <c r="S2" s="3" t="s">
        <v>451</v>
      </c>
      <c r="T2" s="3" t="s">
        <v>452</v>
      </c>
    </row>
    <row r="3" spans="1:20" ht="199.5">
      <c r="A3" s="3" t="s">
        <v>17</v>
      </c>
      <c r="B3" s="3" t="s">
        <v>18</v>
      </c>
      <c r="C3" s="3" t="s">
        <v>19</v>
      </c>
      <c r="D3" s="3" t="s">
        <v>19</v>
      </c>
      <c r="E3" s="3" t="s">
        <v>15</v>
      </c>
      <c r="F3" s="3" t="s">
        <v>445</v>
      </c>
      <c r="G3" s="3" t="s">
        <v>446</v>
      </c>
      <c r="H3" s="3" t="s">
        <v>453</v>
      </c>
      <c r="I3" s="3" t="s">
        <v>454</v>
      </c>
      <c r="J3" s="3" t="s">
        <v>454</v>
      </c>
      <c r="K3" s="3" t="s">
        <v>455</v>
      </c>
      <c r="L3" s="3" t="s">
        <v>455</v>
      </c>
      <c r="M3" s="3" t="s">
        <v>455</v>
      </c>
      <c r="N3" s="3" t="s">
        <v>454</v>
      </c>
      <c r="O3" s="3" t="s">
        <v>448</v>
      </c>
      <c r="P3" s="3" t="s">
        <v>392</v>
      </c>
      <c r="Q3" s="3" t="s">
        <v>449</v>
      </c>
      <c r="R3" s="3" t="s">
        <v>450</v>
      </c>
      <c r="S3" s="3" t="s">
        <v>451</v>
      </c>
      <c r="T3" s="3" t="s">
        <v>452</v>
      </c>
    </row>
    <row r="4" spans="1:20" ht="199.5">
      <c r="A4" s="3" t="s">
        <v>20</v>
      </c>
      <c r="B4" s="3" t="s">
        <v>21</v>
      </c>
      <c r="C4" s="3" t="s">
        <v>22</v>
      </c>
      <c r="D4" s="3" t="s">
        <v>23</v>
      </c>
      <c r="E4" s="3" t="s">
        <v>15</v>
      </c>
      <c r="F4" s="3" t="s">
        <v>445</v>
      </c>
      <c r="G4" s="3" t="s">
        <v>446</v>
      </c>
      <c r="H4" s="3" t="s">
        <v>456</v>
      </c>
      <c r="I4" s="3" t="s">
        <v>448</v>
      </c>
      <c r="J4" s="3" t="s">
        <v>455</v>
      </c>
      <c r="K4" s="3" t="s">
        <v>455</v>
      </c>
      <c r="L4" s="3" t="s">
        <v>455</v>
      </c>
      <c r="M4" s="3" t="s">
        <v>448</v>
      </c>
      <c r="N4" s="3" t="s">
        <v>448</v>
      </c>
      <c r="O4" s="3" t="s">
        <v>448</v>
      </c>
      <c r="P4" s="3" t="s">
        <v>387</v>
      </c>
      <c r="Q4" s="3" t="s">
        <v>449</v>
      </c>
      <c r="R4" s="3" t="s">
        <v>450</v>
      </c>
      <c r="S4" s="3" t="s">
        <v>451</v>
      </c>
      <c r="T4" s="3" t="s">
        <v>452</v>
      </c>
    </row>
    <row r="5" spans="1:20" ht="199.5">
      <c r="A5" s="3" t="s">
        <v>24</v>
      </c>
      <c r="B5" s="3" t="s">
        <v>25</v>
      </c>
      <c r="C5" s="3" t="s">
        <v>26</v>
      </c>
      <c r="D5" s="3" t="s">
        <v>27</v>
      </c>
      <c r="E5" s="3" t="s">
        <v>15</v>
      </c>
      <c r="F5" s="3" t="s">
        <v>445</v>
      </c>
      <c r="G5" s="3" t="s">
        <v>446</v>
      </c>
      <c r="H5" s="3" t="s">
        <v>456</v>
      </c>
      <c r="I5" s="3" t="s">
        <v>455</v>
      </c>
      <c r="J5" s="3" t="s">
        <v>454</v>
      </c>
      <c r="K5" s="3" t="s">
        <v>448</v>
      </c>
      <c r="L5" s="3" t="s">
        <v>455</v>
      </c>
      <c r="M5" s="3" t="s">
        <v>448</v>
      </c>
      <c r="N5" s="3" t="s">
        <v>455</v>
      </c>
      <c r="O5" s="3" t="s">
        <v>457</v>
      </c>
      <c r="P5" s="3" t="s">
        <v>387</v>
      </c>
      <c r="Q5" s="3" t="s">
        <v>449</v>
      </c>
      <c r="R5" s="3" t="s">
        <v>450</v>
      </c>
      <c r="S5" s="3" t="s">
        <v>451</v>
      </c>
      <c r="T5" s="3" t="s">
        <v>452</v>
      </c>
    </row>
    <row r="6" spans="1:20" ht="199.5">
      <c r="A6" s="3" t="s">
        <v>28</v>
      </c>
      <c r="B6" s="3" t="s">
        <v>29</v>
      </c>
      <c r="C6" s="3" t="s">
        <v>30</v>
      </c>
      <c r="D6" s="3" t="s">
        <v>30</v>
      </c>
      <c r="E6" s="3" t="s">
        <v>15</v>
      </c>
      <c r="F6" s="3" t="s">
        <v>445</v>
      </c>
      <c r="G6" s="3" t="s">
        <v>446</v>
      </c>
      <c r="H6" s="3" t="s">
        <v>447</v>
      </c>
      <c r="I6" s="3" t="s">
        <v>448</v>
      </c>
      <c r="J6" s="3" t="s">
        <v>448</v>
      </c>
      <c r="K6" s="3" t="s">
        <v>448</v>
      </c>
      <c r="L6" s="3" t="s">
        <v>448</v>
      </c>
      <c r="M6" s="3" t="s">
        <v>448</v>
      </c>
      <c r="N6" s="3" t="s">
        <v>448</v>
      </c>
      <c r="O6" s="3" t="s">
        <v>457</v>
      </c>
      <c r="P6" s="3" t="s">
        <v>413</v>
      </c>
      <c r="Q6" s="3" t="s">
        <v>449</v>
      </c>
      <c r="R6" s="3" t="s">
        <v>450</v>
      </c>
      <c r="S6" s="3" t="s">
        <v>451</v>
      </c>
      <c r="T6" s="3" t="s">
        <v>452</v>
      </c>
    </row>
    <row r="7" spans="1:20" ht="199.5">
      <c r="A7" s="3" t="s">
        <v>31</v>
      </c>
      <c r="B7" s="3" t="s">
        <v>32</v>
      </c>
      <c r="C7" s="3" t="s">
        <v>33</v>
      </c>
      <c r="D7" s="3" t="s">
        <v>33</v>
      </c>
      <c r="E7" s="3" t="s">
        <v>15</v>
      </c>
      <c r="F7" s="3" t="s">
        <v>445</v>
      </c>
      <c r="G7" s="3" t="s">
        <v>446</v>
      </c>
      <c r="H7" s="3" t="s">
        <v>453</v>
      </c>
      <c r="I7" s="3" t="s">
        <v>454</v>
      </c>
      <c r="J7" s="3" t="s">
        <v>454</v>
      </c>
      <c r="K7" s="3" t="s">
        <v>455</v>
      </c>
      <c r="L7" s="3" t="s">
        <v>455</v>
      </c>
      <c r="M7" s="3" t="s">
        <v>455</v>
      </c>
      <c r="N7" s="3" t="s">
        <v>454</v>
      </c>
      <c r="O7" s="3" t="s">
        <v>448</v>
      </c>
      <c r="P7" s="3" t="s">
        <v>392</v>
      </c>
      <c r="Q7" s="3" t="s">
        <v>449</v>
      </c>
      <c r="R7" s="3" t="s">
        <v>450</v>
      </c>
      <c r="S7" s="3" t="s">
        <v>451</v>
      </c>
      <c r="T7" s="3" t="s">
        <v>452</v>
      </c>
    </row>
    <row r="8" spans="1:20" ht="199.5">
      <c r="A8" s="3" t="s">
        <v>34</v>
      </c>
      <c r="B8" s="3" t="s">
        <v>35</v>
      </c>
      <c r="C8" s="3" t="s">
        <v>36</v>
      </c>
      <c r="D8" s="3" t="s">
        <v>37</v>
      </c>
      <c r="E8" s="3" t="s">
        <v>15</v>
      </c>
      <c r="F8" s="3" t="s">
        <v>445</v>
      </c>
      <c r="G8" s="3" t="s">
        <v>446</v>
      </c>
      <c r="H8" s="3" t="s">
        <v>447</v>
      </c>
      <c r="I8" s="3" t="s">
        <v>448</v>
      </c>
      <c r="J8" s="3" t="s">
        <v>448</v>
      </c>
      <c r="K8" s="3" t="s">
        <v>448</v>
      </c>
      <c r="L8" s="3" t="s">
        <v>448</v>
      </c>
      <c r="M8" s="3" t="s">
        <v>448</v>
      </c>
      <c r="N8" s="3" t="s">
        <v>448</v>
      </c>
      <c r="O8" s="3" t="s">
        <v>448</v>
      </c>
      <c r="P8" s="3" t="s">
        <v>413</v>
      </c>
      <c r="Q8" s="3" t="s">
        <v>449</v>
      </c>
      <c r="R8" s="3" t="s">
        <v>450</v>
      </c>
      <c r="S8" s="3" t="s">
        <v>451</v>
      </c>
      <c r="T8" s="3" t="s">
        <v>452</v>
      </c>
    </row>
    <row r="9" spans="1:20" ht="199.5">
      <c r="A9" s="3" t="s">
        <v>38</v>
      </c>
      <c r="B9" s="3" t="s">
        <v>39</v>
      </c>
      <c r="C9" s="3" t="s">
        <v>40</v>
      </c>
      <c r="D9" s="3" t="s">
        <v>40</v>
      </c>
      <c r="E9" s="3" t="s">
        <v>15</v>
      </c>
      <c r="F9" s="3" t="s">
        <v>445</v>
      </c>
      <c r="G9" s="3" t="s">
        <v>446</v>
      </c>
      <c r="H9" s="3" t="s">
        <v>456</v>
      </c>
      <c r="I9" s="3" t="s">
        <v>455</v>
      </c>
      <c r="J9" s="3" t="s">
        <v>454</v>
      </c>
      <c r="K9" s="3" t="s">
        <v>448</v>
      </c>
      <c r="L9" s="3" t="s">
        <v>448</v>
      </c>
      <c r="M9" s="3" t="s">
        <v>455</v>
      </c>
      <c r="N9" s="3" t="s">
        <v>455</v>
      </c>
      <c r="O9" s="3" t="s">
        <v>457</v>
      </c>
      <c r="P9" s="3" t="s">
        <v>387</v>
      </c>
      <c r="Q9" s="3" t="s">
        <v>449</v>
      </c>
      <c r="R9" s="3" t="s">
        <v>450</v>
      </c>
      <c r="S9" s="3" t="s">
        <v>451</v>
      </c>
      <c r="T9" s="3" t="s">
        <v>452</v>
      </c>
    </row>
    <row r="10" spans="1:20" ht="199.5">
      <c r="A10" s="3" t="s">
        <v>41</v>
      </c>
      <c r="B10" s="3" t="s">
        <v>42</v>
      </c>
      <c r="C10" s="3" t="s">
        <v>13</v>
      </c>
      <c r="D10" s="3" t="s">
        <v>14</v>
      </c>
      <c r="E10" s="3" t="s">
        <v>15</v>
      </c>
      <c r="F10" s="3" t="s">
        <v>445</v>
      </c>
      <c r="G10" s="3" t="s">
        <v>446</v>
      </c>
      <c r="H10" s="3" t="s">
        <v>447</v>
      </c>
      <c r="I10" s="3" t="s">
        <v>448</v>
      </c>
      <c r="J10" s="3" t="s">
        <v>448</v>
      </c>
      <c r="K10" s="3" t="s">
        <v>448</v>
      </c>
      <c r="L10" s="3" t="s">
        <v>448</v>
      </c>
      <c r="M10" s="3" t="s">
        <v>448</v>
      </c>
      <c r="N10" s="3" t="s">
        <v>448</v>
      </c>
      <c r="O10" s="3" t="s">
        <v>448</v>
      </c>
      <c r="P10" s="3" t="s">
        <v>413</v>
      </c>
      <c r="Q10" s="3" t="s">
        <v>449</v>
      </c>
      <c r="R10" s="3" t="s">
        <v>450</v>
      </c>
      <c r="S10" s="3" t="s">
        <v>451</v>
      </c>
      <c r="T10" s="3" t="s">
        <v>452</v>
      </c>
    </row>
    <row r="11" spans="1:20" ht="199.5">
      <c r="A11" s="3" t="s">
        <v>43</v>
      </c>
      <c r="B11" s="3" t="s">
        <v>44</v>
      </c>
      <c r="C11" s="3" t="s">
        <v>45</v>
      </c>
      <c r="D11" s="3" t="s">
        <v>45</v>
      </c>
      <c r="E11" s="3" t="s">
        <v>15</v>
      </c>
      <c r="F11" s="3" t="s">
        <v>445</v>
      </c>
      <c r="G11" s="3" t="s">
        <v>446</v>
      </c>
      <c r="H11" s="3" t="s">
        <v>453</v>
      </c>
      <c r="I11" s="3" t="s">
        <v>454</v>
      </c>
      <c r="J11" s="3" t="s">
        <v>454</v>
      </c>
      <c r="K11" s="3" t="s">
        <v>455</v>
      </c>
      <c r="L11" s="3" t="s">
        <v>455</v>
      </c>
      <c r="M11" s="3" t="s">
        <v>455</v>
      </c>
      <c r="N11" s="3" t="s">
        <v>454</v>
      </c>
      <c r="O11" s="3" t="s">
        <v>448</v>
      </c>
      <c r="P11" s="3" t="s">
        <v>392</v>
      </c>
      <c r="Q11" s="3" t="s">
        <v>449</v>
      </c>
      <c r="R11" s="3" t="s">
        <v>450</v>
      </c>
      <c r="S11" s="3" t="s">
        <v>451</v>
      </c>
      <c r="T11" s="3" t="s">
        <v>452</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91"/>
  <sheetViews>
    <sheetView workbookViewId="0"/>
  </sheetViews>
  <sheetFormatPr defaultRowHeight="14.25"/>
  <cols>
    <col min="1" max="26" width="18" customWidth="1"/>
  </cols>
  <sheetData>
    <row r="1" spans="1:20" ht="30">
      <c r="A1" s="1" t="s">
        <v>0</v>
      </c>
      <c r="B1" s="1" t="s">
        <v>1</v>
      </c>
      <c r="C1" s="1" t="s">
        <v>2</v>
      </c>
      <c r="D1" s="1" t="s">
        <v>3</v>
      </c>
      <c r="E1" s="1" t="s">
        <v>458</v>
      </c>
      <c r="F1" s="1" t="s">
        <v>459</v>
      </c>
      <c r="G1" s="1" t="s">
        <v>183</v>
      </c>
      <c r="H1" s="6" t="s">
        <v>460</v>
      </c>
      <c r="I1" s="6" t="s">
        <v>461</v>
      </c>
      <c r="J1" s="6" t="s">
        <v>462</v>
      </c>
      <c r="K1" s="6" t="s">
        <v>463</v>
      </c>
      <c r="L1" s="6" t="s">
        <v>464</v>
      </c>
      <c r="M1" s="6" t="s">
        <v>465</v>
      </c>
      <c r="N1" s="1" t="s">
        <v>466</v>
      </c>
      <c r="O1" s="1" t="s">
        <v>467</v>
      </c>
      <c r="P1" s="1" t="s">
        <v>468</v>
      </c>
      <c r="Q1" s="1" t="s">
        <v>469</v>
      </c>
      <c r="R1" s="1" t="s">
        <v>470</v>
      </c>
      <c r="S1" s="1" t="s">
        <v>442</v>
      </c>
      <c r="T1" s="1" t="s">
        <v>75</v>
      </c>
    </row>
    <row r="2" spans="1:20" ht="71.25">
      <c r="A2" s="3" t="s">
        <v>11</v>
      </c>
      <c r="B2" s="3" t="s">
        <v>12</v>
      </c>
      <c r="C2" s="3" t="s">
        <v>13</v>
      </c>
      <c r="D2" s="3" t="s">
        <v>14</v>
      </c>
      <c r="E2" s="3" t="s">
        <v>471</v>
      </c>
      <c r="F2" s="3" t="s">
        <v>472</v>
      </c>
      <c r="G2" s="3" t="s">
        <v>473</v>
      </c>
      <c r="H2" s="3" t="s">
        <v>474</v>
      </c>
      <c r="I2" s="3" t="s">
        <v>475</v>
      </c>
      <c r="J2" s="3" t="s">
        <v>476</v>
      </c>
      <c r="K2" s="3" t="s">
        <v>477</v>
      </c>
      <c r="L2" s="3" t="s">
        <v>477</v>
      </c>
      <c r="M2" s="3" t="s">
        <v>478</v>
      </c>
      <c r="N2" s="3" t="s">
        <v>479</v>
      </c>
      <c r="O2" s="3" t="s">
        <v>480</v>
      </c>
      <c r="P2" s="3" t="s">
        <v>481</v>
      </c>
      <c r="Q2" s="3" t="s">
        <v>413</v>
      </c>
      <c r="R2" s="3" t="s">
        <v>482</v>
      </c>
      <c r="S2" s="3" t="s">
        <v>483</v>
      </c>
      <c r="T2" s="3" t="s">
        <v>484</v>
      </c>
    </row>
    <row r="3" spans="1:20" ht="71.25">
      <c r="A3" s="3" t="s">
        <v>11</v>
      </c>
      <c r="B3" s="3" t="s">
        <v>12</v>
      </c>
      <c r="C3" s="3" t="s">
        <v>13</v>
      </c>
      <c r="D3" s="3" t="s">
        <v>14</v>
      </c>
      <c r="E3" s="3" t="s">
        <v>485</v>
      </c>
      <c r="F3" s="3" t="s">
        <v>486</v>
      </c>
      <c r="G3" s="3" t="s">
        <v>473</v>
      </c>
      <c r="H3" s="3" t="s">
        <v>487</v>
      </c>
      <c r="I3" s="3" t="s">
        <v>488</v>
      </c>
      <c r="J3" s="3" t="s">
        <v>477</v>
      </c>
      <c r="K3" s="3" t="s">
        <v>489</v>
      </c>
      <c r="L3" s="3" t="s">
        <v>477</v>
      </c>
      <c r="M3" s="3" t="s">
        <v>490</v>
      </c>
      <c r="N3" s="3" t="s">
        <v>491</v>
      </c>
      <c r="O3" s="3" t="s">
        <v>492</v>
      </c>
      <c r="P3" s="3" t="s">
        <v>481</v>
      </c>
      <c r="Q3" s="3" t="s">
        <v>387</v>
      </c>
      <c r="R3" s="3" t="s">
        <v>482</v>
      </c>
      <c r="S3" s="3" t="s">
        <v>483</v>
      </c>
      <c r="T3" s="3" t="s">
        <v>493</v>
      </c>
    </row>
    <row r="4" spans="1:20" ht="57">
      <c r="A4" s="3" t="s">
        <v>11</v>
      </c>
      <c r="B4" s="3" t="s">
        <v>12</v>
      </c>
      <c r="C4" s="3" t="s">
        <v>13</v>
      </c>
      <c r="D4" s="3" t="s">
        <v>14</v>
      </c>
      <c r="E4" s="3" t="s">
        <v>494</v>
      </c>
      <c r="F4" s="3" t="s">
        <v>495</v>
      </c>
      <c r="G4" s="3" t="s">
        <v>496</v>
      </c>
      <c r="H4" s="3" t="s">
        <v>497</v>
      </c>
      <c r="I4" s="3" t="s">
        <v>475</v>
      </c>
      <c r="J4" s="3" t="s">
        <v>498</v>
      </c>
      <c r="K4" s="3" t="s">
        <v>499</v>
      </c>
      <c r="L4" s="3" t="s">
        <v>477</v>
      </c>
      <c r="M4" s="3" t="s">
        <v>500</v>
      </c>
      <c r="N4" s="3" t="s">
        <v>491</v>
      </c>
      <c r="O4" s="3" t="s">
        <v>481</v>
      </c>
      <c r="P4" s="3" t="s">
        <v>501</v>
      </c>
      <c r="Q4" s="3" t="s">
        <v>387</v>
      </c>
      <c r="R4" s="3" t="s">
        <v>502</v>
      </c>
      <c r="S4" s="3" t="s">
        <v>483</v>
      </c>
      <c r="T4" s="3" t="s">
        <v>503</v>
      </c>
    </row>
    <row r="5" spans="1:20" ht="57">
      <c r="A5" s="3" t="s">
        <v>11</v>
      </c>
      <c r="B5" s="3" t="s">
        <v>12</v>
      </c>
      <c r="C5" s="3" t="s">
        <v>13</v>
      </c>
      <c r="D5" s="3" t="s">
        <v>14</v>
      </c>
      <c r="E5" s="3" t="s">
        <v>504</v>
      </c>
      <c r="F5" s="3" t="s">
        <v>505</v>
      </c>
      <c r="G5" s="3" t="s">
        <v>506</v>
      </c>
      <c r="H5" s="3" t="s">
        <v>507</v>
      </c>
      <c r="I5" s="3" t="s">
        <v>508</v>
      </c>
      <c r="J5" s="3" t="s">
        <v>477</v>
      </c>
      <c r="K5" s="3" t="s">
        <v>509</v>
      </c>
      <c r="L5" s="3" t="s">
        <v>510</v>
      </c>
      <c r="M5" s="3" t="s">
        <v>511</v>
      </c>
      <c r="N5" s="3" t="s">
        <v>479</v>
      </c>
      <c r="O5" s="3" t="s">
        <v>501</v>
      </c>
      <c r="P5" s="3" t="s">
        <v>501</v>
      </c>
      <c r="Q5" s="3" t="s">
        <v>413</v>
      </c>
      <c r="R5" s="3" t="s">
        <v>512</v>
      </c>
      <c r="S5" s="3" t="s">
        <v>483</v>
      </c>
      <c r="T5" s="3" t="s">
        <v>513</v>
      </c>
    </row>
    <row r="6" spans="1:20" ht="57">
      <c r="A6" s="3" t="s">
        <v>11</v>
      </c>
      <c r="B6" s="3" t="s">
        <v>12</v>
      </c>
      <c r="C6" s="3" t="s">
        <v>13</v>
      </c>
      <c r="D6" s="3" t="s">
        <v>14</v>
      </c>
      <c r="E6" s="3" t="s">
        <v>514</v>
      </c>
      <c r="F6" s="3" t="s">
        <v>515</v>
      </c>
      <c r="G6" s="3" t="s">
        <v>516</v>
      </c>
      <c r="H6" s="3" t="s">
        <v>517</v>
      </c>
      <c r="I6" s="3" t="s">
        <v>518</v>
      </c>
      <c r="J6" s="3" t="s">
        <v>477</v>
      </c>
      <c r="K6" s="3" t="s">
        <v>477</v>
      </c>
      <c r="L6" s="3" t="s">
        <v>519</v>
      </c>
      <c r="M6" s="3" t="s">
        <v>520</v>
      </c>
      <c r="N6" s="3" t="s">
        <v>479</v>
      </c>
      <c r="O6" s="3" t="s">
        <v>501</v>
      </c>
      <c r="P6" s="3" t="s">
        <v>481</v>
      </c>
      <c r="Q6" s="3" t="s">
        <v>387</v>
      </c>
      <c r="R6" s="3" t="s">
        <v>521</v>
      </c>
      <c r="S6" s="3" t="s">
        <v>483</v>
      </c>
      <c r="T6" s="3" t="s">
        <v>522</v>
      </c>
    </row>
    <row r="7" spans="1:20" ht="57">
      <c r="A7" s="3" t="s">
        <v>11</v>
      </c>
      <c r="B7" s="3" t="s">
        <v>12</v>
      </c>
      <c r="C7" s="3" t="s">
        <v>13</v>
      </c>
      <c r="D7" s="3" t="s">
        <v>14</v>
      </c>
      <c r="E7" s="3" t="s">
        <v>523</v>
      </c>
      <c r="F7" s="3" t="s">
        <v>524</v>
      </c>
      <c r="G7" s="3" t="s">
        <v>525</v>
      </c>
      <c r="H7" s="3" t="s">
        <v>526</v>
      </c>
      <c r="I7" s="3" t="s">
        <v>527</v>
      </c>
      <c r="J7" s="3" t="s">
        <v>528</v>
      </c>
      <c r="K7" s="3" t="s">
        <v>529</v>
      </c>
      <c r="L7" s="3" t="s">
        <v>477</v>
      </c>
      <c r="M7" s="3" t="s">
        <v>530</v>
      </c>
      <c r="N7" s="3" t="s">
        <v>531</v>
      </c>
      <c r="O7" s="3" t="s">
        <v>481</v>
      </c>
      <c r="P7" s="3" t="s">
        <v>501</v>
      </c>
      <c r="Q7" s="3" t="s">
        <v>387</v>
      </c>
      <c r="R7" s="3" t="s">
        <v>532</v>
      </c>
      <c r="S7" s="3" t="s">
        <v>483</v>
      </c>
      <c r="T7" s="3" t="s">
        <v>533</v>
      </c>
    </row>
    <row r="8" spans="1:20" ht="71.25">
      <c r="A8" s="3" t="s">
        <v>11</v>
      </c>
      <c r="B8" s="3" t="s">
        <v>12</v>
      </c>
      <c r="C8" s="3" t="s">
        <v>13</v>
      </c>
      <c r="D8" s="3" t="s">
        <v>14</v>
      </c>
      <c r="E8" s="3" t="s">
        <v>534</v>
      </c>
      <c r="F8" s="3" t="s">
        <v>535</v>
      </c>
      <c r="G8" s="3" t="s">
        <v>536</v>
      </c>
      <c r="H8" s="3" t="s">
        <v>537</v>
      </c>
      <c r="I8" s="3" t="s">
        <v>538</v>
      </c>
      <c r="J8" s="3" t="s">
        <v>539</v>
      </c>
      <c r="K8" s="3" t="s">
        <v>540</v>
      </c>
      <c r="L8" s="3" t="s">
        <v>477</v>
      </c>
      <c r="M8" s="3" t="s">
        <v>541</v>
      </c>
      <c r="N8" s="3" t="s">
        <v>542</v>
      </c>
      <c r="O8" s="3" t="s">
        <v>492</v>
      </c>
      <c r="P8" s="3" t="s">
        <v>492</v>
      </c>
      <c r="Q8" s="3" t="s">
        <v>392</v>
      </c>
      <c r="R8" s="3" t="s">
        <v>543</v>
      </c>
      <c r="S8" s="3" t="s">
        <v>483</v>
      </c>
      <c r="T8" s="3" t="s">
        <v>544</v>
      </c>
    </row>
    <row r="9" spans="1:20" ht="85.5">
      <c r="A9" s="3" t="s">
        <v>11</v>
      </c>
      <c r="B9" s="3" t="s">
        <v>12</v>
      </c>
      <c r="C9" s="3" t="s">
        <v>13</v>
      </c>
      <c r="D9" s="3" t="s">
        <v>14</v>
      </c>
      <c r="E9" s="3" t="s">
        <v>545</v>
      </c>
      <c r="F9" s="3" t="s">
        <v>546</v>
      </c>
      <c r="G9" s="3" t="s">
        <v>547</v>
      </c>
      <c r="H9" s="3" t="s">
        <v>548</v>
      </c>
      <c r="I9" s="3" t="s">
        <v>549</v>
      </c>
      <c r="J9" s="3" t="s">
        <v>550</v>
      </c>
      <c r="K9" s="3" t="s">
        <v>477</v>
      </c>
      <c r="L9" s="3" t="s">
        <v>477</v>
      </c>
      <c r="M9" s="3" t="s">
        <v>551</v>
      </c>
      <c r="N9" s="3" t="s">
        <v>552</v>
      </c>
      <c r="O9" s="3" t="s">
        <v>480</v>
      </c>
      <c r="P9" s="3" t="s">
        <v>501</v>
      </c>
      <c r="Q9" s="3" t="s">
        <v>392</v>
      </c>
      <c r="R9" s="3" t="s">
        <v>553</v>
      </c>
      <c r="S9" s="3" t="s">
        <v>483</v>
      </c>
      <c r="T9" s="3" t="s">
        <v>554</v>
      </c>
    </row>
    <row r="10" spans="1:20" ht="99.75">
      <c r="A10" s="3" t="s">
        <v>11</v>
      </c>
      <c r="B10" s="3" t="s">
        <v>12</v>
      </c>
      <c r="C10" s="3" t="s">
        <v>13</v>
      </c>
      <c r="D10" s="3" t="s">
        <v>14</v>
      </c>
      <c r="E10" s="3" t="s">
        <v>555</v>
      </c>
      <c r="F10" s="3" t="s">
        <v>556</v>
      </c>
      <c r="G10" s="3" t="s">
        <v>557</v>
      </c>
      <c r="H10" s="3" t="s">
        <v>558</v>
      </c>
      <c r="I10" s="3" t="s">
        <v>477</v>
      </c>
      <c r="J10" s="3" t="s">
        <v>477</v>
      </c>
      <c r="K10" s="3" t="s">
        <v>477</v>
      </c>
      <c r="L10" s="3" t="s">
        <v>477</v>
      </c>
      <c r="M10" s="3" t="s">
        <v>559</v>
      </c>
      <c r="N10" s="3" t="s">
        <v>492</v>
      </c>
      <c r="O10" s="3" t="s">
        <v>492</v>
      </c>
      <c r="P10" s="3" t="s">
        <v>492</v>
      </c>
      <c r="Q10" s="3" t="s">
        <v>413</v>
      </c>
      <c r="R10" s="3" t="s">
        <v>560</v>
      </c>
      <c r="S10" s="3" t="s">
        <v>483</v>
      </c>
      <c r="T10" s="3" t="s">
        <v>561</v>
      </c>
    </row>
    <row r="11" spans="1:20" ht="71.25">
      <c r="A11" s="3" t="s">
        <v>17</v>
      </c>
      <c r="B11" s="3" t="s">
        <v>18</v>
      </c>
      <c r="C11" s="3" t="s">
        <v>19</v>
      </c>
      <c r="D11" s="3" t="s">
        <v>19</v>
      </c>
      <c r="E11" s="3" t="s">
        <v>562</v>
      </c>
      <c r="F11" s="3" t="s">
        <v>472</v>
      </c>
      <c r="G11" s="3" t="s">
        <v>473</v>
      </c>
      <c r="H11" s="3" t="s">
        <v>563</v>
      </c>
      <c r="I11" s="3" t="s">
        <v>564</v>
      </c>
      <c r="J11" s="3" t="s">
        <v>565</v>
      </c>
      <c r="K11" s="3" t="s">
        <v>477</v>
      </c>
      <c r="L11" s="3" t="s">
        <v>477</v>
      </c>
      <c r="M11" s="3" t="s">
        <v>566</v>
      </c>
      <c r="N11" s="3" t="s">
        <v>479</v>
      </c>
      <c r="O11" s="3" t="s">
        <v>480</v>
      </c>
      <c r="P11" s="3" t="s">
        <v>481</v>
      </c>
      <c r="Q11" s="3" t="s">
        <v>413</v>
      </c>
      <c r="R11" s="3" t="s">
        <v>482</v>
      </c>
      <c r="S11" s="3" t="s">
        <v>483</v>
      </c>
      <c r="T11" s="3" t="s">
        <v>484</v>
      </c>
    </row>
    <row r="12" spans="1:20" ht="71.25">
      <c r="A12" s="3" t="s">
        <v>17</v>
      </c>
      <c r="B12" s="3" t="s">
        <v>18</v>
      </c>
      <c r="C12" s="3" t="s">
        <v>19</v>
      </c>
      <c r="D12" s="3" t="s">
        <v>19</v>
      </c>
      <c r="E12" s="3" t="s">
        <v>567</v>
      </c>
      <c r="F12" s="3" t="s">
        <v>486</v>
      </c>
      <c r="G12" s="3" t="s">
        <v>473</v>
      </c>
      <c r="H12" s="3" t="s">
        <v>568</v>
      </c>
      <c r="I12" s="3" t="s">
        <v>569</v>
      </c>
      <c r="J12" s="3" t="s">
        <v>477</v>
      </c>
      <c r="K12" s="3" t="s">
        <v>570</v>
      </c>
      <c r="L12" s="3" t="s">
        <v>477</v>
      </c>
      <c r="M12" s="3" t="s">
        <v>571</v>
      </c>
      <c r="N12" s="3" t="s">
        <v>491</v>
      </c>
      <c r="O12" s="3" t="s">
        <v>492</v>
      </c>
      <c r="P12" s="3" t="s">
        <v>481</v>
      </c>
      <c r="Q12" s="3" t="s">
        <v>387</v>
      </c>
      <c r="R12" s="3" t="s">
        <v>482</v>
      </c>
      <c r="S12" s="3" t="s">
        <v>483</v>
      </c>
      <c r="T12" s="3" t="s">
        <v>493</v>
      </c>
    </row>
    <row r="13" spans="1:20" ht="57">
      <c r="A13" s="3" t="s">
        <v>17</v>
      </c>
      <c r="B13" s="3" t="s">
        <v>18</v>
      </c>
      <c r="C13" s="3" t="s">
        <v>19</v>
      </c>
      <c r="D13" s="3" t="s">
        <v>19</v>
      </c>
      <c r="E13" s="3" t="s">
        <v>572</v>
      </c>
      <c r="F13" s="3" t="s">
        <v>495</v>
      </c>
      <c r="G13" s="3" t="s">
        <v>496</v>
      </c>
      <c r="H13" s="3" t="s">
        <v>573</v>
      </c>
      <c r="I13" s="3" t="s">
        <v>564</v>
      </c>
      <c r="J13" s="3" t="s">
        <v>574</v>
      </c>
      <c r="K13" s="3" t="s">
        <v>575</v>
      </c>
      <c r="L13" s="3" t="s">
        <v>477</v>
      </c>
      <c r="M13" s="3" t="s">
        <v>576</v>
      </c>
      <c r="N13" s="3" t="s">
        <v>491</v>
      </c>
      <c r="O13" s="3" t="s">
        <v>481</v>
      </c>
      <c r="P13" s="3" t="s">
        <v>501</v>
      </c>
      <c r="Q13" s="3" t="s">
        <v>387</v>
      </c>
      <c r="R13" s="3" t="s">
        <v>502</v>
      </c>
      <c r="S13" s="3" t="s">
        <v>483</v>
      </c>
      <c r="T13" s="3" t="s">
        <v>503</v>
      </c>
    </row>
    <row r="14" spans="1:20" ht="57">
      <c r="A14" s="3" t="s">
        <v>17</v>
      </c>
      <c r="B14" s="3" t="s">
        <v>18</v>
      </c>
      <c r="C14" s="3" t="s">
        <v>19</v>
      </c>
      <c r="D14" s="3" t="s">
        <v>19</v>
      </c>
      <c r="E14" s="3" t="s">
        <v>577</v>
      </c>
      <c r="F14" s="3" t="s">
        <v>505</v>
      </c>
      <c r="G14" s="3" t="s">
        <v>506</v>
      </c>
      <c r="H14" s="3" t="s">
        <v>578</v>
      </c>
      <c r="I14" s="3" t="s">
        <v>579</v>
      </c>
      <c r="J14" s="3" t="s">
        <v>477</v>
      </c>
      <c r="K14" s="3" t="s">
        <v>580</v>
      </c>
      <c r="L14" s="3" t="s">
        <v>581</v>
      </c>
      <c r="M14" s="3" t="s">
        <v>582</v>
      </c>
      <c r="N14" s="3" t="s">
        <v>479</v>
      </c>
      <c r="O14" s="3" t="s">
        <v>501</v>
      </c>
      <c r="P14" s="3" t="s">
        <v>501</v>
      </c>
      <c r="Q14" s="3" t="s">
        <v>413</v>
      </c>
      <c r="R14" s="3" t="s">
        <v>512</v>
      </c>
      <c r="S14" s="3" t="s">
        <v>483</v>
      </c>
      <c r="T14" s="3" t="s">
        <v>513</v>
      </c>
    </row>
    <row r="15" spans="1:20" ht="57">
      <c r="A15" s="3" t="s">
        <v>17</v>
      </c>
      <c r="B15" s="3" t="s">
        <v>18</v>
      </c>
      <c r="C15" s="3" t="s">
        <v>19</v>
      </c>
      <c r="D15" s="3" t="s">
        <v>19</v>
      </c>
      <c r="E15" s="3" t="s">
        <v>583</v>
      </c>
      <c r="F15" s="3" t="s">
        <v>515</v>
      </c>
      <c r="G15" s="3" t="s">
        <v>516</v>
      </c>
      <c r="H15" s="3" t="s">
        <v>584</v>
      </c>
      <c r="I15" s="3" t="s">
        <v>585</v>
      </c>
      <c r="J15" s="3" t="s">
        <v>477</v>
      </c>
      <c r="K15" s="3" t="s">
        <v>477</v>
      </c>
      <c r="L15" s="3" t="s">
        <v>586</v>
      </c>
      <c r="M15" s="3" t="s">
        <v>587</v>
      </c>
      <c r="N15" s="3" t="s">
        <v>479</v>
      </c>
      <c r="O15" s="3" t="s">
        <v>501</v>
      </c>
      <c r="P15" s="3" t="s">
        <v>481</v>
      </c>
      <c r="Q15" s="3" t="s">
        <v>387</v>
      </c>
      <c r="R15" s="3" t="s">
        <v>521</v>
      </c>
      <c r="S15" s="3" t="s">
        <v>483</v>
      </c>
      <c r="T15" s="3" t="s">
        <v>522</v>
      </c>
    </row>
    <row r="16" spans="1:20" ht="57">
      <c r="A16" s="3" t="s">
        <v>17</v>
      </c>
      <c r="B16" s="3" t="s">
        <v>18</v>
      </c>
      <c r="C16" s="3" t="s">
        <v>19</v>
      </c>
      <c r="D16" s="3" t="s">
        <v>19</v>
      </c>
      <c r="E16" s="3" t="s">
        <v>588</v>
      </c>
      <c r="F16" s="3" t="s">
        <v>524</v>
      </c>
      <c r="G16" s="3" t="s">
        <v>525</v>
      </c>
      <c r="H16" s="3" t="s">
        <v>589</v>
      </c>
      <c r="I16" s="3" t="s">
        <v>590</v>
      </c>
      <c r="J16" s="3" t="s">
        <v>591</v>
      </c>
      <c r="K16" s="3" t="s">
        <v>592</v>
      </c>
      <c r="L16" s="3" t="s">
        <v>477</v>
      </c>
      <c r="M16" s="3" t="s">
        <v>593</v>
      </c>
      <c r="N16" s="3" t="s">
        <v>531</v>
      </c>
      <c r="O16" s="3" t="s">
        <v>481</v>
      </c>
      <c r="P16" s="3" t="s">
        <v>501</v>
      </c>
      <c r="Q16" s="3" t="s">
        <v>387</v>
      </c>
      <c r="R16" s="3" t="s">
        <v>532</v>
      </c>
      <c r="S16" s="3" t="s">
        <v>483</v>
      </c>
      <c r="T16" s="3" t="s">
        <v>533</v>
      </c>
    </row>
    <row r="17" spans="1:20" ht="71.25">
      <c r="A17" s="3" t="s">
        <v>17</v>
      </c>
      <c r="B17" s="3" t="s">
        <v>18</v>
      </c>
      <c r="C17" s="3" t="s">
        <v>19</v>
      </c>
      <c r="D17" s="3" t="s">
        <v>19</v>
      </c>
      <c r="E17" s="3" t="s">
        <v>594</v>
      </c>
      <c r="F17" s="3" t="s">
        <v>535</v>
      </c>
      <c r="G17" s="3" t="s">
        <v>536</v>
      </c>
      <c r="H17" s="3" t="s">
        <v>595</v>
      </c>
      <c r="I17" s="3" t="s">
        <v>596</v>
      </c>
      <c r="J17" s="3" t="s">
        <v>597</v>
      </c>
      <c r="K17" s="3" t="s">
        <v>598</v>
      </c>
      <c r="L17" s="3" t="s">
        <v>477</v>
      </c>
      <c r="M17" s="3" t="s">
        <v>599</v>
      </c>
      <c r="N17" s="3" t="s">
        <v>542</v>
      </c>
      <c r="O17" s="3" t="s">
        <v>492</v>
      </c>
      <c r="P17" s="3" t="s">
        <v>492</v>
      </c>
      <c r="Q17" s="3" t="s">
        <v>392</v>
      </c>
      <c r="R17" s="3" t="s">
        <v>543</v>
      </c>
      <c r="S17" s="3" t="s">
        <v>483</v>
      </c>
      <c r="T17" s="3" t="s">
        <v>544</v>
      </c>
    </row>
    <row r="18" spans="1:20" ht="85.5">
      <c r="A18" s="3" t="s">
        <v>17</v>
      </c>
      <c r="B18" s="3" t="s">
        <v>18</v>
      </c>
      <c r="C18" s="3" t="s">
        <v>19</v>
      </c>
      <c r="D18" s="3" t="s">
        <v>19</v>
      </c>
      <c r="E18" s="3" t="s">
        <v>600</v>
      </c>
      <c r="F18" s="3" t="s">
        <v>546</v>
      </c>
      <c r="G18" s="3" t="s">
        <v>547</v>
      </c>
      <c r="H18" s="3" t="s">
        <v>601</v>
      </c>
      <c r="I18" s="3" t="s">
        <v>549</v>
      </c>
      <c r="J18" s="3" t="s">
        <v>602</v>
      </c>
      <c r="K18" s="3" t="s">
        <v>477</v>
      </c>
      <c r="L18" s="3" t="s">
        <v>477</v>
      </c>
      <c r="M18" s="3" t="s">
        <v>603</v>
      </c>
      <c r="N18" s="3" t="s">
        <v>552</v>
      </c>
      <c r="O18" s="3" t="s">
        <v>480</v>
      </c>
      <c r="P18" s="3" t="s">
        <v>501</v>
      </c>
      <c r="Q18" s="3" t="s">
        <v>392</v>
      </c>
      <c r="R18" s="3" t="s">
        <v>553</v>
      </c>
      <c r="S18" s="3" t="s">
        <v>483</v>
      </c>
      <c r="T18" s="3" t="s">
        <v>554</v>
      </c>
    </row>
    <row r="19" spans="1:20" ht="99.75">
      <c r="A19" s="3" t="s">
        <v>17</v>
      </c>
      <c r="B19" s="3" t="s">
        <v>18</v>
      </c>
      <c r="C19" s="3" t="s">
        <v>19</v>
      </c>
      <c r="D19" s="3" t="s">
        <v>19</v>
      </c>
      <c r="E19" s="3" t="s">
        <v>604</v>
      </c>
      <c r="F19" s="3" t="s">
        <v>556</v>
      </c>
      <c r="G19" s="3" t="s">
        <v>557</v>
      </c>
      <c r="H19" s="3" t="s">
        <v>605</v>
      </c>
      <c r="I19" s="3" t="s">
        <v>477</v>
      </c>
      <c r="J19" s="3" t="s">
        <v>477</v>
      </c>
      <c r="K19" s="3" t="s">
        <v>477</v>
      </c>
      <c r="L19" s="3" t="s">
        <v>477</v>
      </c>
      <c r="M19" s="3" t="s">
        <v>606</v>
      </c>
      <c r="N19" s="3" t="s">
        <v>492</v>
      </c>
      <c r="O19" s="3" t="s">
        <v>492</v>
      </c>
      <c r="P19" s="3" t="s">
        <v>492</v>
      </c>
      <c r="Q19" s="3" t="s">
        <v>413</v>
      </c>
      <c r="R19" s="3" t="s">
        <v>560</v>
      </c>
      <c r="S19" s="3" t="s">
        <v>483</v>
      </c>
      <c r="T19" s="3" t="s">
        <v>561</v>
      </c>
    </row>
    <row r="20" spans="1:20" ht="71.25">
      <c r="A20" s="3" t="s">
        <v>20</v>
      </c>
      <c r="B20" s="3" t="s">
        <v>21</v>
      </c>
      <c r="C20" s="3" t="s">
        <v>22</v>
      </c>
      <c r="D20" s="3" t="s">
        <v>23</v>
      </c>
      <c r="E20" s="3" t="s">
        <v>607</v>
      </c>
      <c r="F20" s="3" t="s">
        <v>472</v>
      </c>
      <c r="G20" s="3" t="s">
        <v>473</v>
      </c>
      <c r="H20" s="3" t="s">
        <v>608</v>
      </c>
      <c r="I20" s="3" t="s">
        <v>609</v>
      </c>
      <c r="J20" s="3" t="s">
        <v>610</v>
      </c>
      <c r="K20" s="3" t="s">
        <v>477</v>
      </c>
      <c r="L20" s="3" t="s">
        <v>477</v>
      </c>
      <c r="M20" s="3" t="s">
        <v>611</v>
      </c>
      <c r="N20" s="3" t="s">
        <v>479</v>
      </c>
      <c r="O20" s="3" t="s">
        <v>480</v>
      </c>
      <c r="P20" s="3" t="s">
        <v>481</v>
      </c>
      <c r="Q20" s="3" t="s">
        <v>413</v>
      </c>
      <c r="R20" s="3" t="s">
        <v>482</v>
      </c>
      <c r="S20" s="3" t="s">
        <v>483</v>
      </c>
      <c r="T20" s="3" t="s">
        <v>484</v>
      </c>
    </row>
    <row r="21" spans="1:20" ht="71.25">
      <c r="A21" s="3" t="s">
        <v>20</v>
      </c>
      <c r="B21" s="3" t="s">
        <v>21</v>
      </c>
      <c r="C21" s="3" t="s">
        <v>22</v>
      </c>
      <c r="D21" s="3" t="s">
        <v>23</v>
      </c>
      <c r="E21" s="3" t="s">
        <v>612</v>
      </c>
      <c r="F21" s="3" t="s">
        <v>486</v>
      </c>
      <c r="G21" s="3" t="s">
        <v>473</v>
      </c>
      <c r="H21" s="3" t="s">
        <v>613</v>
      </c>
      <c r="I21" s="3" t="s">
        <v>614</v>
      </c>
      <c r="J21" s="3" t="s">
        <v>477</v>
      </c>
      <c r="K21" s="3" t="s">
        <v>615</v>
      </c>
      <c r="L21" s="3" t="s">
        <v>477</v>
      </c>
      <c r="M21" s="3" t="s">
        <v>616</v>
      </c>
      <c r="N21" s="3" t="s">
        <v>491</v>
      </c>
      <c r="O21" s="3" t="s">
        <v>492</v>
      </c>
      <c r="P21" s="3" t="s">
        <v>481</v>
      </c>
      <c r="Q21" s="3" t="s">
        <v>387</v>
      </c>
      <c r="R21" s="3" t="s">
        <v>482</v>
      </c>
      <c r="S21" s="3" t="s">
        <v>483</v>
      </c>
      <c r="T21" s="3" t="s">
        <v>493</v>
      </c>
    </row>
    <row r="22" spans="1:20" ht="57">
      <c r="A22" s="3" t="s">
        <v>20</v>
      </c>
      <c r="B22" s="3" t="s">
        <v>21</v>
      </c>
      <c r="C22" s="3" t="s">
        <v>22</v>
      </c>
      <c r="D22" s="3" t="s">
        <v>23</v>
      </c>
      <c r="E22" s="3" t="s">
        <v>617</v>
      </c>
      <c r="F22" s="3" t="s">
        <v>495</v>
      </c>
      <c r="G22" s="3" t="s">
        <v>496</v>
      </c>
      <c r="H22" s="3" t="s">
        <v>618</v>
      </c>
      <c r="I22" s="3" t="s">
        <v>619</v>
      </c>
      <c r="J22" s="3" t="s">
        <v>620</v>
      </c>
      <c r="K22" s="3" t="s">
        <v>621</v>
      </c>
      <c r="L22" s="3" t="s">
        <v>477</v>
      </c>
      <c r="M22" s="3" t="s">
        <v>622</v>
      </c>
      <c r="N22" s="3" t="s">
        <v>491</v>
      </c>
      <c r="O22" s="3" t="s">
        <v>481</v>
      </c>
      <c r="P22" s="3" t="s">
        <v>501</v>
      </c>
      <c r="Q22" s="3" t="s">
        <v>387</v>
      </c>
      <c r="R22" s="3" t="s">
        <v>502</v>
      </c>
      <c r="S22" s="3" t="s">
        <v>483</v>
      </c>
      <c r="T22" s="3" t="s">
        <v>503</v>
      </c>
    </row>
    <row r="23" spans="1:20" ht="57">
      <c r="A23" s="3" t="s">
        <v>20</v>
      </c>
      <c r="B23" s="3" t="s">
        <v>21</v>
      </c>
      <c r="C23" s="3" t="s">
        <v>22</v>
      </c>
      <c r="D23" s="3" t="s">
        <v>23</v>
      </c>
      <c r="E23" s="3" t="s">
        <v>623</v>
      </c>
      <c r="F23" s="3" t="s">
        <v>505</v>
      </c>
      <c r="G23" s="3" t="s">
        <v>506</v>
      </c>
      <c r="H23" s="3" t="s">
        <v>624</v>
      </c>
      <c r="I23" s="3" t="s">
        <v>625</v>
      </c>
      <c r="J23" s="3" t="s">
        <v>477</v>
      </c>
      <c r="K23" s="3" t="s">
        <v>626</v>
      </c>
      <c r="L23" s="3" t="s">
        <v>627</v>
      </c>
      <c r="M23" s="3" t="s">
        <v>628</v>
      </c>
      <c r="N23" s="3" t="s">
        <v>479</v>
      </c>
      <c r="O23" s="3" t="s">
        <v>501</v>
      </c>
      <c r="P23" s="3" t="s">
        <v>501</v>
      </c>
      <c r="Q23" s="3" t="s">
        <v>413</v>
      </c>
      <c r="R23" s="3" t="s">
        <v>512</v>
      </c>
      <c r="S23" s="3" t="s">
        <v>483</v>
      </c>
      <c r="T23" s="3" t="s">
        <v>513</v>
      </c>
    </row>
    <row r="24" spans="1:20" ht="57">
      <c r="A24" s="3" t="s">
        <v>20</v>
      </c>
      <c r="B24" s="3" t="s">
        <v>21</v>
      </c>
      <c r="C24" s="3" t="s">
        <v>22</v>
      </c>
      <c r="D24" s="3" t="s">
        <v>23</v>
      </c>
      <c r="E24" s="3" t="s">
        <v>629</v>
      </c>
      <c r="F24" s="3" t="s">
        <v>515</v>
      </c>
      <c r="G24" s="3" t="s">
        <v>516</v>
      </c>
      <c r="H24" s="3" t="s">
        <v>630</v>
      </c>
      <c r="I24" s="3" t="s">
        <v>631</v>
      </c>
      <c r="J24" s="3" t="s">
        <v>477</v>
      </c>
      <c r="K24" s="3" t="s">
        <v>477</v>
      </c>
      <c r="L24" s="3" t="s">
        <v>632</v>
      </c>
      <c r="M24" s="3" t="s">
        <v>633</v>
      </c>
      <c r="N24" s="3" t="s">
        <v>479</v>
      </c>
      <c r="O24" s="3" t="s">
        <v>501</v>
      </c>
      <c r="P24" s="3" t="s">
        <v>481</v>
      </c>
      <c r="Q24" s="3" t="s">
        <v>387</v>
      </c>
      <c r="R24" s="3" t="s">
        <v>521</v>
      </c>
      <c r="S24" s="3" t="s">
        <v>483</v>
      </c>
      <c r="T24" s="3" t="s">
        <v>522</v>
      </c>
    </row>
    <row r="25" spans="1:20" ht="57">
      <c r="A25" s="3" t="s">
        <v>20</v>
      </c>
      <c r="B25" s="3" t="s">
        <v>21</v>
      </c>
      <c r="C25" s="3" t="s">
        <v>22</v>
      </c>
      <c r="D25" s="3" t="s">
        <v>23</v>
      </c>
      <c r="E25" s="3" t="s">
        <v>634</v>
      </c>
      <c r="F25" s="3" t="s">
        <v>524</v>
      </c>
      <c r="G25" s="3" t="s">
        <v>525</v>
      </c>
      <c r="H25" s="3" t="s">
        <v>635</v>
      </c>
      <c r="I25" s="3" t="s">
        <v>636</v>
      </c>
      <c r="J25" s="3" t="s">
        <v>637</v>
      </c>
      <c r="K25" s="3" t="s">
        <v>638</v>
      </c>
      <c r="L25" s="3" t="s">
        <v>477</v>
      </c>
      <c r="M25" s="3" t="s">
        <v>639</v>
      </c>
      <c r="N25" s="3" t="s">
        <v>531</v>
      </c>
      <c r="O25" s="3" t="s">
        <v>481</v>
      </c>
      <c r="P25" s="3" t="s">
        <v>501</v>
      </c>
      <c r="Q25" s="3" t="s">
        <v>387</v>
      </c>
      <c r="R25" s="3" t="s">
        <v>532</v>
      </c>
      <c r="S25" s="3" t="s">
        <v>483</v>
      </c>
      <c r="T25" s="3" t="s">
        <v>533</v>
      </c>
    </row>
    <row r="26" spans="1:20" ht="71.25">
      <c r="A26" s="3" t="s">
        <v>20</v>
      </c>
      <c r="B26" s="3" t="s">
        <v>21</v>
      </c>
      <c r="C26" s="3" t="s">
        <v>22</v>
      </c>
      <c r="D26" s="3" t="s">
        <v>23</v>
      </c>
      <c r="E26" s="3" t="s">
        <v>640</v>
      </c>
      <c r="F26" s="3" t="s">
        <v>535</v>
      </c>
      <c r="G26" s="3" t="s">
        <v>536</v>
      </c>
      <c r="H26" s="3" t="s">
        <v>641</v>
      </c>
      <c r="I26" s="3" t="s">
        <v>642</v>
      </c>
      <c r="J26" s="3" t="s">
        <v>643</v>
      </c>
      <c r="K26" s="3" t="s">
        <v>644</v>
      </c>
      <c r="L26" s="3" t="s">
        <v>477</v>
      </c>
      <c r="M26" s="3" t="s">
        <v>645</v>
      </c>
      <c r="N26" s="3" t="s">
        <v>542</v>
      </c>
      <c r="O26" s="3" t="s">
        <v>492</v>
      </c>
      <c r="P26" s="3" t="s">
        <v>492</v>
      </c>
      <c r="Q26" s="3" t="s">
        <v>392</v>
      </c>
      <c r="R26" s="3" t="s">
        <v>543</v>
      </c>
      <c r="S26" s="3" t="s">
        <v>483</v>
      </c>
      <c r="T26" s="3" t="s">
        <v>544</v>
      </c>
    </row>
    <row r="27" spans="1:20" ht="85.5">
      <c r="A27" s="3" t="s">
        <v>20</v>
      </c>
      <c r="B27" s="3" t="s">
        <v>21</v>
      </c>
      <c r="C27" s="3" t="s">
        <v>22</v>
      </c>
      <c r="D27" s="3" t="s">
        <v>23</v>
      </c>
      <c r="E27" s="3" t="s">
        <v>646</v>
      </c>
      <c r="F27" s="3" t="s">
        <v>546</v>
      </c>
      <c r="G27" s="3" t="s">
        <v>547</v>
      </c>
      <c r="H27" s="3" t="s">
        <v>647</v>
      </c>
      <c r="I27" s="3" t="s">
        <v>549</v>
      </c>
      <c r="J27" s="3" t="s">
        <v>648</v>
      </c>
      <c r="K27" s="3" t="s">
        <v>477</v>
      </c>
      <c r="L27" s="3" t="s">
        <v>477</v>
      </c>
      <c r="M27" s="3" t="s">
        <v>649</v>
      </c>
      <c r="N27" s="3" t="s">
        <v>552</v>
      </c>
      <c r="O27" s="3" t="s">
        <v>480</v>
      </c>
      <c r="P27" s="3" t="s">
        <v>501</v>
      </c>
      <c r="Q27" s="3" t="s">
        <v>392</v>
      </c>
      <c r="R27" s="3" t="s">
        <v>553</v>
      </c>
      <c r="S27" s="3" t="s">
        <v>483</v>
      </c>
      <c r="T27" s="3" t="s">
        <v>554</v>
      </c>
    </row>
    <row r="28" spans="1:20" ht="99.75">
      <c r="A28" s="3" t="s">
        <v>20</v>
      </c>
      <c r="B28" s="3" t="s">
        <v>21</v>
      </c>
      <c r="C28" s="3" t="s">
        <v>22</v>
      </c>
      <c r="D28" s="3" t="s">
        <v>23</v>
      </c>
      <c r="E28" s="3" t="s">
        <v>650</v>
      </c>
      <c r="F28" s="3" t="s">
        <v>556</v>
      </c>
      <c r="G28" s="3" t="s">
        <v>557</v>
      </c>
      <c r="H28" s="3" t="s">
        <v>651</v>
      </c>
      <c r="I28" s="3" t="s">
        <v>477</v>
      </c>
      <c r="J28" s="3" t="s">
        <v>477</v>
      </c>
      <c r="K28" s="3" t="s">
        <v>477</v>
      </c>
      <c r="L28" s="3" t="s">
        <v>477</v>
      </c>
      <c r="M28" s="3" t="s">
        <v>652</v>
      </c>
      <c r="N28" s="3" t="s">
        <v>492</v>
      </c>
      <c r="O28" s="3" t="s">
        <v>492</v>
      </c>
      <c r="P28" s="3" t="s">
        <v>492</v>
      </c>
      <c r="Q28" s="3" t="s">
        <v>413</v>
      </c>
      <c r="R28" s="3" t="s">
        <v>560</v>
      </c>
      <c r="S28" s="3" t="s">
        <v>483</v>
      </c>
      <c r="T28" s="3" t="s">
        <v>561</v>
      </c>
    </row>
    <row r="29" spans="1:20" ht="71.25">
      <c r="A29" s="3" t="s">
        <v>24</v>
      </c>
      <c r="B29" s="3" t="s">
        <v>25</v>
      </c>
      <c r="C29" s="3" t="s">
        <v>26</v>
      </c>
      <c r="D29" s="3" t="s">
        <v>27</v>
      </c>
      <c r="E29" s="3" t="s">
        <v>653</v>
      </c>
      <c r="F29" s="3" t="s">
        <v>472</v>
      </c>
      <c r="G29" s="3" t="s">
        <v>473</v>
      </c>
      <c r="H29" s="3" t="s">
        <v>654</v>
      </c>
      <c r="I29" s="3" t="s">
        <v>655</v>
      </c>
      <c r="J29" s="3" t="s">
        <v>656</v>
      </c>
      <c r="K29" s="3" t="s">
        <v>477</v>
      </c>
      <c r="L29" s="3" t="s">
        <v>477</v>
      </c>
      <c r="M29" s="3" t="s">
        <v>657</v>
      </c>
      <c r="N29" s="3" t="s">
        <v>479</v>
      </c>
      <c r="O29" s="3" t="s">
        <v>480</v>
      </c>
      <c r="P29" s="3" t="s">
        <v>481</v>
      </c>
      <c r="Q29" s="3" t="s">
        <v>413</v>
      </c>
      <c r="R29" s="3" t="s">
        <v>482</v>
      </c>
      <c r="S29" s="3" t="s">
        <v>483</v>
      </c>
      <c r="T29" s="3" t="s">
        <v>484</v>
      </c>
    </row>
    <row r="30" spans="1:20" ht="71.25">
      <c r="A30" s="3" t="s">
        <v>24</v>
      </c>
      <c r="B30" s="3" t="s">
        <v>25</v>
      </c>
      <c r="C30" s="3" t="s">
        <v>26</v>
      </c>
      <c r="D30" s="3" t="s">
        <v>27</v>
      </c>
      <c r="E30" s="3" t="s">
        <v>658</v>
      </c>
      <c r="F30" s="3" t="s">
        <v>486</v>
      </c>
      <c r="G30" s="3" t="s">
        <v>473</v>
      </c>
      <c r="H30" s="3" t="s">
        <v>659</v>
      </c>
      <c r="I30" s="3" t="s">
        <v>660</v>
      </c>
      <c r="J30" s="3" t="s">
        <v>477</v>
      </c>
      <c r="K30" s="3" t="s">
        <v>661</v>
      </c>
      <c r="L30" s="3" t="s">
        <v>477</v>
      </c>
      <c r="M30" s="3" t="s">
        <v>662</v>
      </c>
      <c r="N30" s="3" t="s">
        <v>491</v>
      </c>
      <c r="O30" s="3" t="s">
        <v>492</v>
      </c>
      <c r="P30" s="3" t="s">
        <v>481</v>
      </c>
      <c r="Q30" s="3" t="s">
        <v>387</v>
      </c>
      <c r="R30" s="3" t="s">
        <v>482</v>
      </c>
      <c r="S30" s="3" t="s">
        <v>483</v>
      </c>
      <c r="T30" s="3" t="s">
        <v>493</v>
      </c>
    </row>
    <row r="31" spans="1:20" ht="57">
      <c r="A31" s="3" t="s">
        <v>24</v>
      </c>
      <c r="B31" s="3" t="s">
        <v>25</v>
      </c>
      <c r="C31" s="3" t="s">
        <v>26</v>
      </c>
      <c r="D31" s="3" t="s">
        <v>27</v>
      </c>
      <c r="E31" s="3" t="s">
        <v>663</v>
      </c>
      <c r="F31" s="3" t="s">
        <v>495</v>
      </c>
      <c r="G31" s="3" t="s">
        <v>496</v>
      </c>
      <c r="H31" s="3" t="s">
        <v>664</v>
      </c>
      <c r="I31" s="3" t="s">
        <v>569</v>
      </c>
      <c r="J31" s="3" t="s">
        <v>665</v>
      </c>
      <c r="K31" s="3" t="s">
        <v>666</v>
      </c>
      <c r="L31" s="3" t="s">
        <v>477</v>
      </c>
      <c r="M31" s="3" t="s">
        <v>667</v>
      </c>
      <c r="N31" s="3" t="s">
        <v>491</v>
      </c>
      <c r="O31" s="3" t="s">
        <v>481</v>
      </c>
      <c r="P31" s="3" t="s">
        <v>501</v>
      </c>
      <c r="Q31" s="3" t="s">
        <v>387</v>
      </c>
      <c r="R31" s="3" t="s">
        <v>502</v>
      </c>
      <c r="S31" s="3" t="s">
        <v>483</v>
      </c>
      <c r="T31" s="3" t="s">
        <v>503</v>
      </c>
    </row>
    <row r="32" spans="1:20" ht="57">
      <c r="A32" s="3" t="s">
        <v>24</v>
      </c>
      <c r="B32" s="3" t="s">
        <v>25</v>
      </c>
      <c r="C32" s="3" t="s">
        <v>26</v>
      </c>
      <c r="D32" s="3" t="s">
        <v>27</v>
      </c>
      <c r="E32" s="3" t="s">
        <v>668</v>
      </c>
      <c r="F32" s="3" t="s">
        <v>505</v>
      </c>
      <c r="G32" s="3" t="s">
        <v>506</v>
      </c>
      <c r="H32" s="3" t="s">
        <v>669</v>
      </c>
      <c r="I32" s="3" t="s">
        <v>670</v>
      </c>
      <c r="J32" s="3" t="s">
        <v>477</v>
      </c>
      <c r="K32" s="3" t="s">
        <v>671</v>
      </c>
      <c r="L32" s="3" t="s">
        <v>672</v>
      </c>
      <c r="M32" s="3" t="s">
        <v>673</v>
      </c>
      <c r="N32" s="3" t="s">
        <v>479</v>
      </c>
      <c r="O32" s="3" t="s">
        <v>501</v>
      </c>
      <c r="P32" s="3" t="s">
        <v>501</v>
      </c>
      <c r="Q32" s="3" t="s">
        <v>413</v>
      </c>
      <c r="R32" s="3" t="s">
        <v>512</v>
      </c>
      <c r="S32" s="3" t="s">
        <v>483</v>
      </c>
      <c r="T32" s="3" t="s">
        <v>513</v>
      </c>
    </row>
    <row r="33" spans="1:20" ht="57">
      <c r="A33" s="3" t="s">
        <v>24</v>
      </c>
      <c r="B33" s="3" t="s">
        <v>25</v>
      </c>
      <c r="C33" s="3" t="s">
        <v>26</v>
      </c>
      <c r="D33" s="3" t="s">
        <v>27</v>
      </c>
      <c r="E33" s="3" t="s">
        <v>674</v>
      </c>
      <c r="F33" s="3" t="s">
        <v>515</v>
      </c>
      <c r="G33" s="3" t="s">
        <v>516</v>
      </c>
      <c r="H33" s="3" t="s">
        <v>675</v>
      </c>
      <c r="I33" s="3" t="s">
        <v>676</v>
      </c>
      <c r="J33" s="3" t="s">
        <v>477</v>
      </c>
      <c r="K33" s="3" t="s">
        <v>477</v>
      </c>
      <c r="L33" s="3" t="s">
        <v>677</v>
      </c>
      <c r="M33" s="3" t="s">
        <v>678</v>
      </c>
      <c r="N33" s="3" t="s">
        <v>479</v>
      </c>
      <c r="O33" s="3" t="s">
        <v>501</v>
      </c>
      <c r="P33" s="3" t="s">
        <v>481</v>
      </c>
      <c r="Q33" s="3" t="s">
        <v>387</v>
      </c>
      <c r="R33" s="3" t="s">
        <v>521</v>
      </c>
      <c r="S33" s="3" t="s">
        <v>483</v>
      </c>
      <c r="T33" s="3" t="s">
        <v>522</v>
      </c>
    </row>
    <row r="34" spans="1:20" ht="57">
      <c r="A34" s="3" t="s">
        <v>24</v>
      </c>
      <c r="B34" s="3" t="s">
        <v>25</v>
      </c>
      <c r="C34" s="3" t="s">
        <v>26</v>
      </c>
      <c r="D34" s="3" t="s">
        <v>27</v>
      </c>
      <c r="E34" s="3" t="s">
        <v>679</v>
      </c>
      <c r="F34" s="3" t="s">
        <v>524</v>
      </c>
      <c r="G34" s="3" t="s">
        <v>525</v>
      </c>
      <c r="H34" s="3" t="s">
        <v>680</v>
      </c>
      <c r="I34" s="3" t="s">
        <v>681</v>
      </c>
      <c r="J34" s="3" t="s">
        <v>682</v>
      </c>
      <c r="K34" s="3" t="s">
        <v>683</v>
      </c>
      <c r="L34" s="3" t="s">
        <v>477</v>
      </c>
      <c r="M34" s="3" t="s">
        <v>684</v>
      </c>
      <c r="N34" s="3" t="s">
        <v>531</v>
      </c>
      <c r="O34" s="3" t="s">
        <v>481</v>
      </c>
      <c r="P34" s="3" t="s">
        <v>501</v>
      </c>
      <c r="Q34" s="3" t="s">
        <v>387</v>
      </c>
      <c r="R34" s="3" t="s">
        <v>532</v>
      </c>
      <c r="S34" s="3" t="s">
        <v>483</v>
      </c>
      <c r="T34" s="3" t="s">
        <v>533</v>
      </c>
    </row>
    <row r="35" spans="1:20" ht="71.25">
      <c r="A35" s="3" t="s">
        <v>24</v>
      </c>
      <c r="B35" s="3" t="s">
        <v>25</v>
      </c>
      <c r="C35" s="3" t="s">
        <v>26</v>
      </c>
      <c r="D35" s="3" t="s">
        <v>27</v>
      </c>
      <c r="E35" s="3" t="s">
        <v>685</v>
      </c>
      <c r="F35" s="3" t="s">
        <v>535</v>
      </c>
      <c r="G35" s="3" t="s">
        <v>536</v>
      </c>
      <c r="H35" s="3" t="s">
        <v>686</v>
      </c>
      <c r="I35" s="3" t="s">
        <v>687</v>
      </c>
      <c r="J35" s="3" t="s">
        <v>688</v>
      </c>
      <c r="K35" s="3" t="s">
        <v>689</v>
      </c>
      <c r="L35" s="3" t="s">
        <v>477</v>
      </c>
      <c r="M35" s="3" t="s">
        <v>690</v>
      </c>
      <c r="N35" s="3" t="s">
        <v>542</v>
      </c>
      <c r="O35" s="3" t="s">
        <v>492</v>
      </c>
      <c r="P35" s="3" t="s">
        <v>492</v>
      </c>
      <c r="Q35" s="3" t="s">
        <v>392</v>
      </c>
      <c r="R35" s="3" t="s">
        <v>543</v>
      </c>
      <c r="S35" s="3" t="s">
        <v>483</v>
      </c>
      <c r="T35" s="3" t="s">
        <v>544</v>
      </c>
    </row>
    <row r="36" spans="1:20" ht="85.5">
      <c r="A36" s="3" t="s">
        <v>24</v>
      </c>
      <c r="B36" s="3" t="s">
        <v>25</v>
      </c>
      <c r="C36" s="3" t="s">
        <v>26</v>
      </c>
      <c r="D36" s="3" t="s">
        <v>27</v>
      </c>
      <c r="E36" s="3" t="s">
        <v>691</v>
      </c>
      <c r="F36" s="3" t="s">
        <v>546</v>
      </c>
      <c r="G36" s="3" t="s">
        <v>547</v>
      </c>
      <c r="H36" s="3" t="s">
        <v>692</v>
      </c>
      <c r="I36" s="3" t="s">
        <v>693</v>
      </c>
      <c r="J36" s="3" t="s">
        <v>694</v>
      </c>
      <c r="K36" s="3" t="s">
        <v>477</v>
      </c>
      <c r="L36" s="3" t="s">
        <v>477</v>
      </c>
      <c r="M36" s="3" t="s">
        <v>695</v>
      </c>
      <c r="N36" s="3" t="s">
        <v>552</v>
      </c>
      <c r="O36" s="3" t="s">
        <v>480</v>
      </c>
      <c r="P36" s="3" t="s">
        <v>501</v>
      </c>
      <c r="Q36" s="3" t="s">
        <v>392</v>
      </c>
      <c r="R36" s="3" t="s">
        <v>553</v>
      </c>
      <c r="S36" s="3" t="s">
        <v>483</v>
      </c>
      <c r="T36" s="3" t="s">
        <v>554</v>
      </c>
    </row>
    <row r="37" spans="1:20" ht="99.75">
      <c r="A37" s="3" t="s">
        <v>24</v>
      </c>
      <c r="B37" s="3" t="s">
        <v>25</v>
      </c>
      <c r="C37" s="3" t="s">
        <v>26</v>
      </c>
      <c r="D37" s="3" t="s">
        <v>27</v>
      </c>
      <c r="E37" s="3" t="s">
        <v>696</v>
      </c>
      <c r="F37" s="3" t="s">
        <v>556</v>
      </c>
      <c r="G37" s="3" t="s">
        <v>557</v>
      </c>
      <c r="H37" s="3" t="s">
        <v>697</v>
      </c>
      <c r="I37" s="3" t="s">
        <v>477</v>
      </c>
      <c r="J37" s="3" t="s">
        <v>477</v>
      </c>
      <c r="K37" s="3" t="s">
        <v>477</v>
      </c>
      <c r="L37" s="3" t="s">
        <v>477</v>
      </c>
      <c r="M37" s="3" t="s">
        <v>698</v>
      </c>
      <c r="N37" s="3" t="s">
        <v>492</v>
      </c>
      <c r="O37" s="3" t="s">
        <v>492</v>
      </c>
      <c r="P37" s="3" t="s">
        <v>492</v>
      </c>
      <c r="Q37" s="3" t="s">
        <v>413</v>
      </c>
      <c r="R37" s="3" t="s">
        <v>560</v>
      </c>
      <c r="S37" s="3" t="s">
        <v>483</v>
      </c>
      <c r="T37" s="3" t="s">
        <v>561</v>
      </c>
    </row>
    <row r="38" spans="1:20" ht="71.25">
      <c r="A38" s="3" t="s">
        <v>28</v>
      </c>
      <c r="B38" s="3" t="s">
        <v>29</v>
      </c>
      <c r="C38" s="3" t="s">
        <v>30</v>
      </c>
      <c r="D38" s="3" t="s">
        <v>30</v>
      </c>
      <c r="E38" s="3" t="s">
        <v>699</v>
      </c>
      <c r="F38" s="3" t="s">
        <v>472</v>
      </c>
      <c r="G38" s="3" t="s">
        <v>473</v>
      </c>
      <c r="H38" s="3" t="s">
        <v>700</v>
      </c>
      <c r="I38" s="3" t="s">
        <v>701</v>
      </c>
      <c r="J38" s="3" t="s">
        <v>702</v>
      </c>
      <c r="K38" s="3" t="s">
        <v>477</v>
      </c>
      <c r="L38" s="3" t="s">
        <v>477</v>
      </c>
      <c r="M38" s="3" t="s">
        <v>703</v>
      </c>
      <c r="N38" s="3" t="s">
        <v>479</v>
      </c>
      <c r="O38" s="3" t="s">
        <v>480</v>
      </c>
      <c r="P38" s="3" t="s">
        <v>481</v>
      </c>
      <c r="Q38" s="3" t="s">
        <v>413</v>
      </c>
      <c r="R38" s="3" t="s">
        <v>482</v>
      </c>
      <c r="S38" s="3" t="s">
        <v>483</v>
      </c>
      <c r="T38" s="3" t="s">
        <v>484</v>
      </c>
    </row>
    <row r="39" spans="1:20" ht="71.25">
      <c r="A39" s="3" t="s">
        <v>28</v>
      </c>
      <c r="B39" s="3" t="s">
        <v>29</v>
      </c>
      <c r="C39" s="3" t="s">
        <v>30</v>
      </c>
      <c r="D39" s="3" t="s">
        <v>30</v>
      </c>
      <c r="E39" s="3" t="s">
        <v>704</v>
      </c>
      <c r="F39" s="3" t="s">
        <v>486</v>
      </c>
      <c r="G39" s="3" t="s">
        <v>473</v>
      </c>
      <c r="H39" s="3" t="s">
        <v>705</v>
      </c>
      <c r="I39" s="3" t="s">
        <v>706</v>
      </c>
      <c r="J39" s="3" t="s">
        <v>477</v>
      </c>
      <c r="K39" s="3" t="s">
        <v>156</v>
      </c>
      <c r="L39" s="3" t="s">
        <v>477</v>
      </c>
      <c r="M39" s="3" t="s">
        <v>707</v>
      </c>
      <c r="N39" s="3" t="s">
        <v>491</v>
      </c>
      <c r="O39" s="3" t="s">
        <v>492</v>
      </c>
      <c r="P39" s="3" t="s">
        <v>481</v>
      </c>
      <c r="Q39" s="3" t="s">
        <v>387</v>
      </c>
      <c r="R39" s="3" t="s">
        <v>482</v>
      </c>
      <c r="S39" s="3" t="s">
        <v>483</v>
      </c>
      <c r="T39" s="3" t="s">
        <v>493</v>
      </c>
    </row>
    <row r="40" spans="1:20" ht="57">
      <c r="A40" s="3" t="s">
        <v>28</v>
      </c>
      <c r="B40" s="3" t="s">
        <v>29</v>
      </c>
      <c r="C40" s="3" t="s">
        <v>30</v>
      </c>
      <c r="D40" s="3" t="s">
        <v>30</v>
      </c>
      <c r="E40" s="3" t="s">
        <v>708</v>
      </c>
      <c r="F40" s="3" t="s">
        <v>495</v>
      </c>
      <c r="G40" s="3" t="s">
        <v>496</v>
      </c>
      <c r="H40" s="3" t="s">
        <v>709</v>
      </c>
      <c r="I40" s="3" t="s">
        <v>710</v>
      </c>
      <c r="J40" s="3" t="s">
        <v>711</v>
      </c>
      <c r="K40" s="3" t="s">
        <v>712</v>
      </c>
      <c r="L40" s="3" t="s">
        <v>477</v>
      </c>
      <c r="M40" s="3" t="s">
        <v>713</v>
      </c>
      <c r="N40" s="3" t="s">
        <v>491</v>
      </c>
      <c r="O40" s="3" t="s">
        <v>481</v>
      </c>
      <c r="P40" s="3" t="s">
        <v>501</v>
      </c>
      <c r="Q40" s="3" t="s">
        <v>387</v>
      </c>
      <c r="R40" s="3" t="s">
        <v>502</v>
      </c>
      <c r="S40" s="3" t="s">
        <v>483</v>
      </c>
      <c r="T40" s="3" t="s">
        <v>503</v>
      </c>
    </row>
    <row r="41" spans="1:20" ht="57">
      <c r="A41" s="3" t="s">
        <v>28</v>
      </c>
      <c r="B41" s="3" t="s">
        <v>29</v>
      </c>
      <c r="C41" s="3" t="s">
        <v>30</v>
      </c>
      <c r="D41" s="3" t="s">
        <v>30</v>
      </c>
      <c r="E41" s="3" t="s">
        <v>714</v>
      </c>
      <c r="F41" s="3" t="s">
        <v>505</v>
      </c>
      <c r="G41" s="3" t="s">
        <v>506</v>
      </c>
      <c r="H41" s="3" t="s">
        <v>715</v>
      </c>
      <c r="I41" s="3" t="s">
        <v>716</v>
      </c>
      <c r="J41" s="3" t="s">
        <v>477</v>
      </c>
      <c r="K41" s="3" t="s">
        <v>717</v>
      </c>
      <c r="L41" s="3" t="s">
        <v>718</v>
      </c>
      <c r="M41" s="3" t="s">
        <v>719</v>
      </c>
      <c r="N41" s="3" t="s">
        <v>479</v>
      </c>
      <c r="O41" s="3" t="s">
        <v>501</v>
      </c>
      <c r="P41" s="3" t="s">
        <v>501</v>
      </c>
      <c r="Q41" s="3" t="s">
        <v>413</v>
      </c>
      <c r="R41" s="3" t="s">
        <v>512</v>
      </c>
      <c r="S41" s="3" t="s">
        <v>483</v>
      </c>
      <c r="T41" s="3" t="s">
        <v>513</v>
      </c>
    </row>
    <row r="42" spans="1:20" ht="57">
      <c r="A42" s="3" t="s">
        <v>28</v>
      </c>
      <c r="B42" s="3" t="s">
        <v>29</v>
      </c>
      <c r="C42" s="3" t="s">
        <v>30</v>
      </c>
      <c r="D42" s="3" t="s">
        <v>30</v>
      </c>
      <c r="E42" s="3" t="s">
        <v>720</v>
      </c>
      <c r="F42" s="3" t="s">
        <v>515</v>
      </c>
      <c r="G42" s="3" t="s">
        <v>516</v>
      </c>
      <c r="H42" s="3" t="s">
        <v>721</v>
      </c>
      <c r="I42" s="3" t="s">
        <v>722</v>
      </c>
      <c r="J42" s="3" t="s">
        <v>477</v>
      </c>
      <c r="K42" s="3" t="s">
        <v>477</v>
      </c>
      <c r="L42" s="3" t="s">
        <v>723</v>
      </c>
      <c r="M42" s="3" t="s">
        <v>724</v>
      </c>
      <c r="N42" s="3" t="s">
        <v>479</v>
      </c>
      <c r="O42" s="3" t="s">
        <v>501</v>
      </c>
      <c r="P42" s="3" t="s">
        <v>481</v>
      </c>
      <c r="Q42" s="3" t="s">
        <v>387</v>
      </c>
      <c r="R42" s="3" t="s">
        <v>521</v>
      </c>
      <c r="S42" s="3" t="s">
        <v>483</v>
      </c>
      <c r="T42" s="3" t="s">
        <v>522</v>
      </c>
    </row>
    <row r="43" spans="1:20" ht="57">
      <c r="A43" s="3" t="s">
        <v>28</v>
      </c>
      <c r="B43" s="3" t="s">
        <v>29</v>
      </c>
      <c r="C43" s="3" t="s">
        <v>30</v>
      </c>
      <c r="D43" s="3" t="s">
        <v>30</v>
      </c>
      <c r="E43" s="3" t="s">
        <v>725</v>
      </c>
      <c r="F43" s="3" t="s">
        <v>524</v>
      </c>
      <c r="G43" s="3" t="s">
        <v>525</v>
      </c>
      <c r="H43" s="3" t="s">
        <v>726</v>
      </c>
      <c r="I43" s="3" t="s">
        <v>727</v>
      </c>
      <c r="J43" s="3" t="s">
        <v>728</v>
      </c>
      <c r="K43" s="3" t="s">
        <v>729</v>
      </c>
      <c r="L43" s="3" t="s">
        <v>477</v>
      </c>
      <c r="M43" s="3" t="s">
        <v>730</v>
      </c>
      <c r="N43" s="3" t="s">
        <v>531</v>
      </c>
      <c r="O43" s="3" t="s">
        <v>481</v>
      </c>
      <c r="P43" s="3" t="s">
        <v>501</v>
      </c>
      <c r="Q43" s="3" t="s">
        <v>387</v>
      </c>
      <c r="R43" s="3" t="s">
        <v>532</v>
      </c>
      <c r="S43" s="3" t="s">
        <v>483</v>
      </c>
      <c r="T43" s="3" t="s">
        <v>533</v>
      </c>
    </row>
    <row r="44" spans="1:20" ht="71.25">
      <c r="A44" s="3" t="s">
        <v>28</v>
      </c>
      <c r="B44" s="3" t="s">
        <v>29</v>
      </c>
      <c r="C44" s="3" t="s">
        <v>30</v>
      </c>
      <c r="D44" s="3" t="s">
        <v>30</v>
      </c>
      <c r="E44" s="3" t="s">
        <v>731</v>
      </c>
      <c r="F44" s="3" t="s">
        <v>535</v>
      </c>
      <c r="G44" s="3" t="s">
        <v>536</v>
      </c>
      <c r="H44" s="3" t="s">
        <v>732</v>
      </c>
      <c r="I44" s="3" t="s">
        <v>733</v>
      </c>
      <c r="J44" s="3" t="s">
        <v>734</v>
      </c>
      <c r="K44" s="3" t="s">
        <v>735</v>
      </c>
      <c r="L44" s="3" t="s">
        <v>477</v>
      </c>
      <c r="M44" s="3" t="s">
        <v>736</v>
      </c>
      <c r="N44" s="3" t="s">
        <v>542</v>
      </c>
      <c r="O44" s="3" t="s">
        <v>492</v>
      </c>
      <c r="P44" s="3" t="s">
        <v>492</v>
      </c>
      <c r="Q44" s="3" t="s">
        <v>392</v>
      </c>
      <c r="R44" s="3" t="s">
        <v>543</v>
      </c>
      <c r="S44" s="3" t="s">
        <v>483</v>
      </c>
      <c r="T44" s="3" t="s">
        <v>544</v>
      </c>
    </row>
    <row r="45" spans="1:20" ht="85.5">
      <c r="A45" s="3" t="s">
        <v>28</v>
      </c>
      <c r="B45" s="3" t="s">
        <v>29</v>
      </c>
      <c r="C45" s="3" t="s">
        <v>30</v>
      </c>
      <c r="D45" s="3" t="s">
        <v>30</v>
      </c>
      <c r="E45" s="3" t="s">
        <v>737</v>
      </c>
      <c r="F45" s="3" t="s">
        <v>546</v>
      </c>
      <c r="G45" s="3" t="s">
        <v>547</v>
      </c>
      <c r="H45" s="3" t="s">
        <v>738</v>
      </c>
      <c r="I45" s="3" t="s">
        <v>739</v>
      </c>
      <c r="J45" s="3" t="s">
        <v>740</v>
      </c>
      <c r="K45" s="3" t="s">
        <v>477</v>
      </c>
      <c r="L45" s="3" t="s">
        <v>477</v>
      </c>
      <c r="M45" s="3" t="s">
        <v>741</v>
      </c>
      <c r="N45" s="3" t="s">
        <v>552</v>
      </c>
      <c r="O45" s="3" t="s">
        <v>480</v>
      </c>
      <c r="P45" s="3" t="s">
        <v>501</v>
      </c>
      <c r="Q45" s="3" t="s">
        <v>392</v>
      </c>
      <c r="R45" s="3" t="s">
        <v>553</v>
      </c>
      <c r="S45" s="3" t="s">
        <v>483</v>
      </c>
      <c r="T45" s="3" t="s">
        <v>554</v>
      </c>
    </row>
    <row r="46" spans="1:20" ht="99.75">
      <c r="A46" s="3" t="s">
        <v>28</v>
      </c>
      <c r="B46" s="3" t="s">
        <v>29</v>
      </c>
      <c r="C46" s="3" t="s">
        <v>30</v>
      </c>
      <c r="D46" s="3" t="s">
        <v>30</v>
      </c>
      <c r="E46" s="3" t="s">
        <v>742</v>
      </c>
      <c r="F46" s="3" t="s">
        <v>556</v>
      </c>
      <c r="G46" s="3" t="s">
        <v>557</v>
      </c>
      <c r="H46" s="3" t="s">
        <v>743</v>
      </c>
      <c r="I46" s="3" t="s">
        <v>477</v>
      </c>
      <c r="J46" s="3" t="s">
        <v>477</v>
      </c>
      <c r="K46" s="3" t="s">
        <v>477</v>
      </c>
      <c r="L46" s="3" t="s">
        <v>477</v>
      </c>
      <c r="M46" s="3" t="s">
        <v>744</v>
      </c>
      <c r="N46" s="3" t="s">
        <v>492</v>
      </c>
      <c r="O46" s="3" t="s">
        <v>492</v>
      </c>
      <c r="P46" s="3" t="s">
        <v>492</v>
      </c>
      <c r="Q46" s="3" t="s">
        <v>413</v>
      </c>
      <c r="R46" s="3" t="s">
        <v>560</v>
      </c>
      <c r="S46" s="3" t="s">
        <v>483</v>
      </c>
      <c r="T46" s="3" t="s">
        <v>561</v>
      </c>
    </row>
    <row r="47" spans="1:20" ht="71.25">
      <c r="A47" s="3" t="s">
        <v>31</v>
      </c>
      <c r="B47" s="3" t="s">
        <v>32</v>
      </c>
      <c r="C47" s="3" t="s">
        <v>33</v>
      </c>
      <c r="D47" s="3" t="s">
        <v>33</v>
      </c>
      <c r="E47" s="3" t="s">
        <v>745</v>
      </c>
      <c r="F47" s="3" t="s">
        <v>472</v>
      </c>
      <c r="G47" s="3" t="s">
        <v>473</v>
      </c>
      <c r="H47" s="3" t="s">
        <v>746</v>
      </c>
      <c r="I47" s="3" t="s">
        <v>747</v>
      </c>
      <c r="J47" s="3" t="s">
        <v>748</v>
      </c>
      <c r="K47" s="3" t="s">
        <v>477</v>
      </c>
      <c r="L47" s="3" t="s">
        <v>477</v>
      </c>
      <c r="M47" s="3" t="s">
        <v>749</v>
      </c>
      <c r="N47" s="3" t="s">
        <v>479</v>
      </c>
      <c r="O47" s="3" t="s">
        <v>480</v>
      </c>
      <c r="P47" s="3" t="s">
        <v>481</v>
      </c>
      <c r="Q47" s="3" t="s">
        <v>413</v>
      </c>
      <c r="R47" s="3" t="s">
        <v>482</v>
      </c>
      <c r="S47" s="3" t="s">
        <v>483</v>
      </c>
      <c r="T47" s="3" t="s">
        <v>484</v>
      </c>
    </row>
    <row r="48" spans="1:20" ht="71.25">
      <c r="A48" s="3" t="s">
        <v>31</v>
      </c>
      <c r="B48" s="3" t="s">
        <v>32</v>
      </c>
      <c r="C48" s="3" t="s">
        <v>33</v>
      </c>
      <c r="D48" s="3" t="s">
        <v>33</v>
      </c>
      <c r="E48" s="3" t="s">
        <v>750</v>
      </c>
      <c r="F48" s="3" t="s">
        <v>486</v>
      </c>
      <c r="G48" s="3" t="s">
        <v>473</v>
      </c>
      <c r="H48" s="3" t="s">
        <v>751</v>
      </c>
      <c r="I48" s="3" t="s">
        <v>752</v>
      </c>
      <c r="J48" s="3" t="s">
        <v>477</v>
      </c>
      <c r="K48" s="3" t="s">
        <v>753</v>
      </c>
      <c r="L48" s="3" t="s">
        <v>477</v>
      </c>
      <c r="M48" s="3" t="s">
        <v>754</v>
      </c>
      <c r="N48" s="3" t="s">
        <v>491</v>
      </c>
      <c r="O48" s="3" t="s">
        <v>492</v>
      </c>
      <c r="P48" s="3" t="s">
        <v>481</v>
      </c>
      <c r="Q48" s="3" t="s">
        <v>387</v>
      </c>
      <c r="R48" s="3" t="s">
        <v>482</v>
      </c>
      <c r="S48" s="3" t="s">
        <v>483</v>
      </c>
      <c r="T48" s="3" t="s">
        <v>493</v>
      </c>
    </row>
    <row r="49" spans="1:20" ht="57">
      <c r="A49" s="3" t="s">
        <v>31</v>
      </c>
      <c r="B49" s="3" t="s">
        <v>32</v>
      </c>
      <c r="C49" s="3" t="s">
        <v>33</v>
      </c>
      <c r="D49" s="3" t="s">
        <v>33</v>
      </c>
      <c r="E49" s="3" t="s">
        <v>755</v>
      </c>
      <c r="F49" s="3" t="s">
        <v>495</v>
      </c>
      <c r="G49" s="3" t="s">
        <v>496</v>
      </c>
      <c r="H49" s="3" t="s">
        <v>756</v>
      </c>
      <c r="I49" s="3" t="s">
        <v>757</v>
      </c>
      <c r="J49" s="3" t="s">
        <v>758</v>
      </c>
      <c r="K49" s="3" t="s">
        <v>759</v>
      </c>
      <c r="L49" s="3" t="s">
        <v>477</v>
      </c>
      <c r="M49" s="3" t="s">
        <v>760</v>
      </c>
      <c r="N49" s="3" t="s">
        <v>491</v>
      </c>
      <c r="O49" s="3" t="s">
        <v>481</v>
      </c>
      <c r="P49" s="3" t="s">
        <v>501</v>
      </c>
      <c r="Q49" s="3" t="s">
        <v>387</v>
      </c>
      <c r="R49" s="3" t="s">
        <v>502</v>
      </c>
      <c r="S49" s="3" t="s">
        <v>483</v>
      </c>
      <c r="T49" s="3" t="s">
        <v>503</v>
      </c>
    </row>
    <row r="50" spans="1:20" ht="57">
      <c r="A50" s="3" t="s">
        <v>31</v>
      </c>
      <c r="B50" s="3" t="s">
        <v>32</v>
      </c>
      <c r="C50" s="3" t="s">
        <v>33</v>
      </c>
      <c r="D50" s="3" t="s">
        <v>33</v>
      </c>
      <c r="E50" s="3" t="s">
        <v>761</v>
      </c>
      <c r="F50" s="3" t="s">
        <v>505</v>
      </c>
      <c r="G50" s="3" t="s">
        <v>506</v>
      </c>
      <c r="H50" s="3" t="s">
        <v>762</v>
      </c>
      <c r="I50" s="3" t="s">
        <v>701</v>
      </c>
      <c r="J50" s="3" t="s">
        <v>477</v>
      </c>
      <c r="K50" s="3" t="s">
        <v>290</v>
      </c>
      <c r="L50" s="3" t="s">
        <v>763</v>
      </c>
      <c r="M50" s="3" t="s">
        <v>764</v>
      </c>
      <c r="N50" s="3" t="s">
        <v>479</v>
      </c>
      <c r="O50" s="3" t="s">
        <v>501</v>
      </c>
      <c r="P50" s="3" t="s">
        <v>501</v>
      </c>
      <c r="Q50" s="3" t="s">
        <v>413</v>
      </c>
      <c r="R50" s="3" t="s">
        <v>512</v>
      </c>
      <c r="S50" s="3" t="s">
        <v>483</v>
      </c>
      <c r="T50" s="3" t="s">
        <v>513</v>
      </c>
    </row>
    <row r="51" spans="1:20" ht="57">
      <c r="A51" s="3" t="s">
        <v>31</v>
      </c>
      <c r="B51" s="3" t="s">
        <v>32</v>
      </c>
      <c r="C51" s="3" t="s">
        <v>33</v>
      </c>
      <c r="D51" s="3" t="s">
        <v>33</v>
      </c>
      <c r="E51" s="3" t="s">
        <v>765</v>
      </c>
      <c r="F51" s="3" t="s">
        <v>515</v>
      </c>
      <c r="G51" s="3" t="s">
        <v>516</v>
      </c>
      <c r="H51" s="3" t="s">
        <v>766</v>
      </c>
      <c r="I51" s="3" t="s">
        <v>767</v>
      </c>
      <c r="J51" s="3" t="s">
        <v>477</v>
      </c>
      <c r="K51" s="3" t="s">
        <v>477</v>
      </c>
      <c r="L51" s="3" t="s">
        <v>768</v>
      </c>
      <c r="M51" s="3" t="s">
        <v>769</v>
      </c>
      <c r="N51" s="3" t="s">
        <v>479</v>
      </c>
      <c r="O51" s="3" t="s">
        <v>501</v>
      </c>
      <c r="P51" s="3" t="s">
        <v>481</v>
      </c>
      <c r="Q51" s="3" t="s">
        <v>387</v>
      </c>
      <c r="R51" s="3" t="s">
        <v>521</v>
      </c>
      <c r="S51" s="3" t="s">
        <v>483</v>
      </c>
      <c r="T51" s="3" t="s">
        <v>522</v>
      </c>
    </row>
    <row r="52" spans="1:20" ht="57">
      <c r="A52" s="3" t="s">
        <v>31</v>
      </c>
      <c r="B52" s="3" t="s">
        <v>32</v>
      </c>
      <c r="C52" s="3" t="s">
        <v>33</v>
      </c>
      <c r="D52" s="3" t="s">
        <v>33</v>
      </c>
      <c r="E52" s="3" t="s">
        <v>770</v>
      </c>
      <c r="F52" s="3" t="s">
        <v>524</v>
      </c>
      <c r="G52" s="3" t="s">
        <v>525</v>
      </c>
      <c r="H52" s="3" t="s">
        <v>771</v>
      </c>
      <c r="I52" s="3" t="s">
        <v>772</v>
      </c>
      <c r="J52" s="3" t="s">
        <v>773</v>
      </c>
      <c r="K52" s="3" t="s">
        <v>774</v>
      </c>
      <c r="L52" s="3" t="s">
        <v>477</v>
      </c>
      <c r="M52" s="3" t="s">
        <v>775</v>
      </c>
      <c r="N52" s="3" t="s">
        <v>531</v>
      </c>
      <c r="O52" s="3" t="s">
        <v>481</v>
      </c>
      <c r="P52" s="3" t="s">
        <v>501</v>
      </c>
      <c r="Q52" s="3" t="s">
        <v>387</v>
      </c>
      <c r="R52" s="3" t="s">
        <v>532</v>
      </c>
      <c r="S52" s="3" t="s">
        <v>483</v>
      </c>
      <c r="T52" s="3" t="s">
        <v>533</v>
      </c>
    </row>
    <row r="53" spans="1:20" ht="71.25">
      <c r="A53" s="3" t="s">
        <v>31</v>
      </c>
      <c r="B53" s="3" t="s">
        <v>32</v>
      </c>
      <c r="C53" s="3" t="s">
        <v>33</v>
      </c>
      <c r="D53" s="3" t="s">
        <v>33</v>
      </c>
      <c r="E53" s="3" t="s">
        <v>776</v>
      </c>
      <c r="F53" s="3" t="s">
        <v>535</v>
      </c>
      <c r="G53" s="3" t="s">
        <v>536</v>
      </c>
      <c r="H53" s="3" t="s">
        <v>777</v>
      </c>
      <c r="I53" s="3" t="s">
        <v>778</v>
      </c>
      <c r="J53" s="3" t="s">
        <v>779</v>
      </c>
      <c r="K53" s="3" t="s">
        <v>780</v>
      </c>
      <c r="L53" s="3" t="s">
        <v>477</v>
      </c>
      <c r="M53" s="3" t="s">
        <v>781</v>
      </c>
      <c r="N53" s="3" t="s">
        <v>542</v>
      </c>
      <c r="O53" s="3" t="s">
        <v>492</v>
      </c>
      <c r="P53" s="3" t="s">
        <v>492</v>
      </c>
      <c r="Q53" s="3" t="s">
        <v>392</v>
      </c>
      <c r="R53" s="3" t="s">
        <v>543</v>
      </c>
      <c r="S53" s="3" t="s">
        <v>483</v>
      </c>
      <c r="T53" s="3" t="s">
        <v>544</v>
      </c>
    </row>
    <row r="54" spans="1:20" ht="85.5">
      <c r="A54" s="3" t="s">
        <v>31</v>
      </c>
      <c r="B54" s="3" t="s">
        <v>32</v>
      </c>
      <c r="C54" s="3" t="s">
        <v>33</v>
      </c>
      <c r="D54" s="3" t="s">
        <v>33</v>
      </c>
      <c r="E54" s="3" t="s">
        <v>782</v>
      </c>
      <c r="F54" s="3" t="s">
        <v>546</v>
      </c>
      <c r="G54" s="3" t="s">
        <v>547</v>
      </c>
      <c r="H54" s="3" t="s">
        <v>783</v>
      </c>
      <c r="I54" s="3" t="s">
        <v>549</v>
      </c>
      <c r="J54" s="3" t="s">
        <v>784</v>
      </c>
      <c r="K54" s="3" t="s">
        <v>477</v>
      </c>
      <c r="L54" s="3" t="s">
        <v>477</v>
      </c>
      <c r="M54" s="3" t="s">
        <v>785</v>
      </c>
      <c r="N54" s="3" t="s">
        <v>552</v>
      </c>
      <c r="O54" s="3" t="s">
        <v>480</v>
      </c>
      <c r="P54" s="3" t="s">
        <v>501</v>
      </c>
      <c r="Q54" s="3" t="s">
        <v>392</v>
      </c>
      <c r="R54" s="3" t="s">
        <v>553</v>
      </c>
      <c r="S54" s="3" t="s">
        <v>483</v>
      </c>
      <c r="T54" s="3" t="s">
        <v>554</v>
      </c>
    </row>
    <row r="55" spans="1:20" ht="99.75">
      <c r="A55" s="3" t="s">
        <v>31</v>
      </c>
      <c r="B55" s="3" t="s">
        <v>32</v>
      </c>
      <c r="C55" s="3" t="s">
        <v>33</v>
      </c>
      <c r="D55" s="3" t="s">
        <v>33</v>
      </c>
      <c r="E55" s="3" t="s">
        <v>786</v>
      </c>
      <c r="F55" s="3" t="s">
        <v>556</v>
      </c>
      <c r="G55" s="3" t="s">
        <v>557</v>
      </c>
      <c r="H55" s="3" t="s">
        <v>787</v>
      </c>
      <c r="I55" s="3" t="s">
        <v>477</v>
      </c>
      <c r="J55" s="3" t="s">
        <v>477</v>
      </c>
      <c r="K55" s="3" t="s">
        <v>477</v>
      </c>
      <c r="L55" s="3" t="s">
        <v>477</v>
      </c>
      <c r="M55" s="3" t="s">
        <v>788</v>
      </c>
      <c r="N55" s="3" t="s">
        <v>492</v>
      </c>
      <c r="O55" s="3" t="s">
        <v>492</v>
      </c>
      <c r="P55" s="3" t="s">
        <v>492</v>
      </c>
      <c r="Q55" s="3" t="s">
        <v>413</v>
      </c>
      <c r="R55" s="3" t="s">
        <v>560</v>
      </c>
      <c r="S55" s="3" t="s">
        <v>483</v>
      </c>
      <c r="T55" s="3" t="s">
        <v>561</v>
      </c>
    </row>
    <row r="56" spans="1:20" ht="71.25">
      <c r="A56" s="3" t="s">
        <v>34</v>
      </c>
      <c r="B56" s="3" t="s">
        <v>35</v>
      </c>
      <c r="C56" s="3" t="s">
        <v>36</v>
      </c>
      <c r="D56" s="3" t="s">
        <v>37</v>
      </c>
      <c r="E56" s="3" t="s">
        <v>789</v>
      </c>
      <c r="F56" s="3" t="s">
        <v>472</v>
      </c>
      <c r="G56" s="3" t="s">
        <v>473</v>
      </c>
      <c r="H56" s="3" t="s">
        <v>790</v>
      </c>
      <c r="I56" s="3" t="s">
        <v>791</v>
      </c>
      <c r="J56" s="3" t="s">
        <v>792</v>
      </c>
      <c r="K56" s="3" t="s">
        <v>477</v>
      </c>
      <c r="L56" s="3" t="s">
        <v>477</v>
      </c>
      <c r="M56" s="3" t="s">
        <v>793</v>
      </c>
      <c r="N56" s="3" t="s">
        <v>479</v>
      </c>
      <c r="O56" s="3" t="s">
        <v>480</v>
      </c>
      <c r="P56" s="3" t="s">
        <v>481</v>
      </c>
      <c r="Q56" s="3" t="s">
        <v>413</v>
      </c>
      <c r="R56" s="3" t="s">
        <v>482</v>
      </c>
      <c r="S56" s="3" t="s">
        <v>483</v>
      </c>
      <c r="T56" s="3" t="s">
        <v>484</v>
      </c>
    </row>
    <row r="57" spans="1:20" ht="71.25">
      <c r="A57" s="3" t="s">
        <v>34</v>
      </c>
      <c r="B57" s="3" t="s">
        <v>35</v>
      </c>
      <c r="C57" s="3" t="s">
        <v>36</v>
      </c>
      <c r="D57" s="3" t="s">
        <v>37</v>
      </c>
      <c r="E57" s="3" t="s">
        <v>794</v>
      </c>
      <c r="F57" s="3" t="s">
        <v>486</v>
      </c>
      <c r="G57" s="3" t="s">
        <v>473</v>
      </c>
      <c r="H57" s="3" t="s">
        <v>795</v>
      </c>
      <c r="I57" s="3" t="s">
        <v>625</v>
      </c>
      <c r="J57" s="3" t="s">
        <v>477</v>
      </c>
      <c r="K57" s="3" t="s">
        <v>796</v>
      </c>
      <c r="L57" s="3" t="s">
        <v>477</v>
      </c>
      <c r="M57" s="3" t="s">
        <v>797</v>
      </c>
      <c r="N57" s="3" t="s">
        <v>491</v>
      </c>
      <c r="O57" s="3" t="s">
        <v>492</v>
      </c>
      <c r="P57" s="3" t="s">
        <v>481</v>
      </c>
      <c r="Q57" s="3" t="s">
        <v>387</v>
      </c>
      <c r="R57" s="3" t="s">
        <v>482</v>
      </c>
      <c r="S57" s="3" t="s">
        <v>483</v>
      </c>
      <c r="T57" s="3" t="s">
        <v>493</v>
      </c>
    </row>
    <row r="58" spans="1:20" ht="57">
      <c r="A58" s="3" t="s">
        <v>34</v>
      </c>
      <c r="B58" s="3" t="s">
        <v>35</v>
      </c>
      <c r="C58" s="3" t="s">
        <v>36</v>
      </c>
      <c r="D58" s="3" t="s">
        <v>37</v>
      </c>
      <c r="E58" s="3" t="s">
        <v>798</v>
      </c>
      <c r="F58" s="3" t="s">
        <v>495</v>
      </c>
      <c r="G58" s="3" t="s">
        <v>496</v>
      </c>
      <c r="H58" s="3" t="s">
        <v>584</v>
      </c>
      <c r="I58" s="3" t="s">
        <v>799</v>
      </c>
      <c r="J58" s="3" t="s">
        <v>800</v>
      </c>
      <c r="K58" s="3" t="s">
        <v>801</v>
      </c>
      <c r="L58" s="3" t="s">
        <v>477</v>
      </c>
      <c r="M58" s="3" t="s">
        <v>802</v>
      </c>
      <c r="N58" s="3" t="s">
        <v>491</v>
      </c>
      <c r="O58" s="3" t="s">
        <v>481</v>
      </c>
      <c r="P58" s="3" t="s">
        <v>501</v>
      </c>
      <c r="Q58" s="3" t="s">
        <v>387</v>
      </c>
      <c r="R58" s="3" t="s">
        <v>502</v>
      </c>
      <c r="S58" s="3" t="s">
        <v>483</v>
      </c>
      <c r="T58" s="3" t="s">
        <v>503</v>
      </c>
    </row>
    <row r="59" spans="1:20" ht="57">
      <c r="A59" s="3" t="s">
        <v>34</v>
      </c>
      <c r="B59" s="3" t="s">
        <v>35</v>
      </c>
      <c r="C59" s="3" t="s">
        <v>36</v>
      </c>
      <c r="D59" s="3" t="s">
        <v>37</v>
      </c>
      <c r="E59" s="3" t="s">
        <v>803</v>
      </c>
      <c r="F59" s="3" t="s">
        <v>505</v>
      </c>
      <c r="G59" s="3" t="s">
        <v>506</v>
      </c>
      <c r="H59" s="3" t="s">
        <v>804</v>
      </c>
      <c r="I59" s="3" t="s">
        <v>805</v>
      </c>
      <c r="J59" s="3" t="s">
        <v>477</v>
      </c>
      <c r="K59" s="3" t="s">
        <v>806</v>
      </c>
      <c r="L59" s="3" t="s">
        <v>807</v>
      </c>
      <c r="M59" s="3" t="s">
        <v>808</v>
      </c>
      <c r="N59" s="3" t="s">
        <v>479</v>
      </c>
      <c r="O59" s="3" t="s">
        <v>501</v>
      </c>
      <c r="P59" s="3" t="s">
        <v>501</v>
      </c>
      <c r="Q59" s="3" t="s">
        <v>413</v>
      </c>
      <c r="R59" s="3" t="s">
        <v>512</v>
      </c>
      <c r="S59" s="3" t="s">
        <v>483</v>
      </c>
      <c r="T59" s="3" t="s">
        <v>513</v>
      </c>
    </row>
    <row r="60" spans="1:20" ht="57">
      <c r="A60" s="3" t="s">
        <v>34</v>
      </c>
      <c r="B60" s="3" t="s">
        <v>35</v>
      </c>
      <c r="C60" s="3" t="s">
        <v>36</v>
      </c>
      <c r="D60" s="3" t="s">
        <v>37</v>
      </c>
      <c r="E60" s="3" t="s">
        <v>809</v>
      </c>
      <c r="F60" s="3" t="s">
        <v>515</v>
      </c>
      <c r="G60" s="3" t="s">
        <v>516</v>
      </c>
      <c r="H60" s="3" t="s">
        <v>810</v>
      </c>
      <c r="I60" s="3" t="s">
        <v>811</v>
      </c>
      <c r="J60" s="3" t="s">
        <v>477</v>
      </c>
      <c r="K60" s="3" t="s">
        <v>477</v>
      </c>
      <c r="L60" s="3" t="s">
        <v>812</v>
      </c>
      <c r="M60" s="3" t="s">
        <v>813</v>
      </c>
      <c r="N60" s="3" t="s">
        <v>479</v>
      </c>
      <c r="O60" s="3" t="s">
        <v>501</v>
      </c>
      <c r="P60" s="3" t="s">
        <v>481</v>
      </c>
      <c r="Q60" s="3" t="s">
        <v>387</v>
      </c>
      <c r="R60" s="3" t="s">
        <v>521</v>
      </c>
      <c r="S60" s="3" t="s">
        <v>483</v>
      </c>
      <c r="T60" s="3" t="s">
        <v>522</v>
      </c>
    </row>
    <row r="61" spans="1:20" ht="57">
      <c r="A61" s="3" t="s">
        <v>34</v>
      </c>
      <c r="B61" s="3" t="s">
        <v>35</v>
      </c>
      <c r="C61" s="3" t="s">
        <v>36</v>
      </c>
      <c r="D61" s="3" t="s">
        <v>37</v>
      </c>
      <c r="E61" s="3" t="s">
        <v>814</v>
      </c>
      <c r="F61" s="3" t="s">
        <v>524</v>
      </c>
      <c r="G61" s="3" t="s">
        <v>525</v>
      </c>
      <c r="H61" s="3" t="s">
        <v>815</v>
      </c>
      <c r="I61" s="3" t="s">
        <v>754</v>
      </c>
      <c r="J61" s="3" t="s">
        <v>816</v>
      </c>
      <c r="K61" s="3" t="s">
        <v>735</v>
      </c>
      <c r="L61" s="3" t="s">
        <v>477</v>
      </c>
      <c r="M61" s="3" t="s">
        <v>817</v>
      </c>
      <c r="N61" s="3" t="s">
        <v>531</v>
      </c>
      <c r="O61" s="3" t="s">
        <v>481</v>
      </c>
      <c r="P61" s="3" t="s">
        <v>501</v>
      </c>
      <c r="Q61" s="3" t="s">
        <v>387</v>
      </c>
      <c r="R61" s="3" t="s">
        <v>532</v>
      </c>
      <c r="S61" s="3" t="s">
        <v>483</v>
      </c>
      <c r="T61" s="3" t="s">
        <v>533</v>
      </c>
    </row>
    <row r="62" spans="1:20" ht="71.25">
      <c r="A62" s="3" t="s">
        <v>34</v>
      </c>
      <c r="B62" s="3" t="s">
        <v>35</v>
      </c>
      <c r="C62" s="3" t="s">
        <v>36</v>
      </c>
      <c r="D62" s="3" t="s">
        <v>37</v>
      </c>
      <c r="E62" s="3" t="s">
        <v>818</v>
      </c>
      <c r="F62" s="3" t="s">
        <v>535</v>
      </c>
      <c r="G62" s="3" t="s">
        <v>536</v>
      </c>
      <c r="H62" s="3" t="s">
        <v>819</v>
      </c>
      <c r="I62" s="3" t="s">
        <v>820</v>
      </c>
      <c r="J62" s="3" t="s">
        <v>821</v>
      </c>
      <c r="K62" s="3" t="s">
        <v>822</v>
      </c>
      <c r="L62" s="3" t="s">
        <v>477</v>
      </c>
      <c r="M62" s="3" t="s">
        <v>823</v>
      </c>
      <c r="N62" s="3" t="s">
        <v>542</v>
      </c>
      <c r="O62" s="3" t="s">
        <v>492</v>
      </c>
      <c r="P62" s="3" t="s">
        <v>492</v>
      </c>
      <c r="Q62" s="3" t="s">
        <v>392</v>
      </c>
      <c r="R62" s="3" t="s">
        <v>543</v>
      </c>
      <c r="S62" s="3" t="s">
        <v>483</v>
      </c>
      <c r="T62" s="3" t="s">
        <v>544</v>
      </c>
    </row>
    <row r="63" spans="1:20" ht="85.5">
      <c r="A63" s="3" t="s">
        <v>34</v>
      </c>
      <c r="B63" s="3" t="s">
        <v>35</v>
      </c>
      <c r="C63" s="3" t="s">
        <v>36</v>
      </c>
      <c r="D63" s="3" t="s">
        <v>37</v>
      </c>
      <c r="E63" s="3" t="s">
        <v>824</v>
      </c>
      <c r="F63" s="3" t="s">
        <v>546</v>
      </c>
      <c r="G63" s="3" t="s">
        <v>547</v>
      </c>
      <c r="H63" s="3" t="s">
        <v>825</v>
      </c>
      <c r="I63" s="3" t="s">
        <v>826</v>
      </c>
      <c r="J63" s="3" t="s">
        <v>827</v>
      </c>
      <c r="K63" s="3" t="s">
        <v>477</v>
      </c>
      <c r="L63" s="3" t="s">
        <v>477</v>
      </c>
      <c r="M63" s="3" t="s">
        <v>828</v>
      </c>
      <c r="N63" s="3" t="s">
        <v>552</v>
      </c>
      <c r="O63" s="3" t="s">
        <v>480</v>
      </c>
      <c r="P63" s="3" t="s">
        <v>501</v>
      </c>
      <c r="Q63" s="3" t="s">
        <v>392</v>
      </c>
      <c r="R63" s="3" t="s">
        <v>553</v>
      </c>
      <c r="S63" s="3" t="s">
        <v>483</v>
      </c>
      <c r="T63" s="3" t="s">
        <v>554</v>
      </c>
    </row>
    <row r="64" spans="1:20" ht="99.75">
      <c r="A64" s="3" t="s">
        <v>34</v>
      </c>
      <c r="B64" s="3" t="s">
        <v>35</v>
      </c>
      <c r="C64" s="3" t="s">
        <v>36</v>
      </c>
      <c r="D64" s="3" t="s">
        <v>37</v>
      </c>
      <c r="E64" s="3" t="s">
        <v>829</v>
      </c>
      <c r="F64" s="3" t="s">
        <v>556</v>
      </c>
      <c r="G64" s="3" t="s">
        <v>557</v>
      </c>
      <c r="H64" s="3" t="s">
        <v>527</v>
      </c>
      <c r="I64" s="3" t="s">
        <v>477</v>
      </c>
      <c r="J64" s="3" t="s">
        <v>477</v>
      </c>
      <c r="K64" s="3" t="s">
        <v>477</v>
      </c>
      <c r="L64" s="3" t="s">
        <v>477</v>
      </c>
      <c r="M64" s="3" t="s">
        <v>716</v>
      </c>
      <c r="N64" s="3" t="s">
        <v>492</v>
      </c>
      <c r="O64" s="3" t="s">
        <v>492</v>
      </c>
      <c r="P64" s="3" t="s">
        <v>492</v>
      </c>
      <c r="Q64" s="3" t="s">
        <v>413</v>
      </c>
      <c r="R64" s="3" t="s">
        <v>560</v>
      </c>
      <c r="S64" s="3" t="s">
        <v>483</v>
      </c>
      <c r="T64" s="3" t="s">
        <v>561</v>
      </c>
    </row>
    <row r="65" spans="1:20" ht="71.25">
      <c r="A65" s="3" t="s">
        <v>38</v>
      </c>
      <c r="B65" s="3" t="s">
        <v>39</v>
      </c>
      <c r="C65" s="3" t="s">
        <v>40</v>
      </c>
      <c r="D65" s="3" t="s">
        <v>40</v>
      </c>
      <c r="E65" s="3" t="s">
        <v>830</v>
      </c>
      <c r="F65" s="3" t="s">
        <v>472</v>
      </c>
      <c r="G65" s="3" t="s">
        <v>473</v>
      </c>
      <c r="H65" s="3" t="s">
        <v>831</v>
      </c>
      <c r="I65" s="3" t="s">
        <v>579</v>
      </c>
      <c r="J65" s="3" t="s">
        <v>832</v>
      </c>
      <c r="K65" s="3" t="s">
        <v>477</v>
      </c>
      <c r="L65" s="3" t="s">
        <v>477</v>
      </c>
      <c r="M65" s="3" t="s">
        <v>833</v>
      </c>
      <c r="N65" s="3" t="s">
        <v>479</v>
      </c>
      <c r="O65" s="3" t="s">
        <v>480</v>
      </c>
      <c r="P65" s="3" t="s">
        <v>481</v>
      </c>
      <c r="Q65" s="3" t="s">
        <v>413</v>
      </c>
      <c r="R65" s="3" t="s">
        <v>482</v>
      </c>
      <c r="S65" s="3" t="s">
        <v>483</v>
      </c>
      <c r="T65" s="3" t="s">
        <v>484</v>
      </c>
    </row>
    <row r="66" spans="1:20" ht="71.25">
      <c r="A66" s="3" t="s">
        <v>38</v>
      </c>
      <c r="B66" s="3" t="s">
        <v>39</v>
      </c>
      <c r="C66" s="3" t="s">
        <v>40</v>
      </c>
      <c r="D66" s="3" t="s">
        <v>40</v>
      </c>
      <c r="E66" s="3" t="s">
        <v>834</v>
      </c>
      <c r="F66" s="3" t="s">
        <v>486</v>
      </c>
      <c r="G66" s="3" t="s">
        <v>473</v>
      </c>
      <c r="H66" s="3" t="s">
        <v>835</v>
      </c>
      <c r="I66" s="3" t="s">
        <v>805</v>
      </c>
      <c r="J66" s="3" t="s">
        <v>477</v>
      </c>
      <c r="K66" s="3" t="s">
        <v>836</v>
      </c>
      <c r="L66" s="3" t="s">
        <v>477</v>
      </c>
      <c r="M66" s="3" t="s">
        <v>837</v>
      </c>
      <c r="N66" s="3" t="s">
        <v>491</v>
      </c>
      <c r="O66" s="3" t="s">
        <v>492</v>
      </c>
      <c r="P66" s="3" t="s">
        <v>481</v>
      </c>
      <c r="Q66" s="3" t="s">
        <v>387</v>
      </c>
      <c r="R66" s="3" t="s">
        <v>482</v>
      </c>
      <c r="S66" s="3" t="s">
        <v>483</v>
      </c>
      <c r="T66" s="3" t="s">
        <v>493</v>
      </c>
    </row>
    <row r="67" spans="1:20" ht="57">
      <c r="A67" s="3" t="s">
        <v>38</v>
      </c>
      <c r="B67" s="3" t="s">
        <v>39</v>
      </c>
      <c r="C67" s="3" t="s">
        <v>40</v>
      </c>
      <c r="D67" s="3" t="s">
        <v>40</v>
      </c>
      <c r="E67" s="3" t="s">
        <v>838</v>
      </c>
      <c r="F67" s="3" t="s">
        <v>495</v>
      </c>
      <c r="G67" s="3" t="s">
        <v>496</v>
      </c>
      <c r="H67" s="3" t="s">
        <v>839</v>
      </c>
      <c r="I67" s="3" t="s">
        <v>840</v>
      </c>
      <c r="J67" s="3" t="s">
        <v>841</v>
      </c>
      <c r="K67" s="3" t="s">
        <v>842</v>
      </c>
      <c r="L67" s="3" t="s">
        <v>477</v>
      </c>
      <c r="M67" s="3" t="s">
        <v>843</v>
      </c>
      <c r="N67" s="3" t="s">
        <v>491</v>
      </c>
      <c r="O67" s="3" t="s">
        <v>481</v>
      </c>
      <c r="P67" s="3" t="s">
        <v>501</v>
      </c>
      <c r="Q67" s="3" t="s">
        <v>387</v>
      </c>
      <c r="R67" s="3" t="s">
        <v>502</v>
      </c>
      <c r="S67" s="3" t="s">
        <v>483</v>
      </c>
      <c r="T67" s="3" t="s">
        <v>503</v>
      </c>
    </row>
    <row r="68" spans="1:20" ht="57">
      <c r="A68" s="3" t="s">
        <v>38</v>
      </c>
      <c r="B68" s="3" t="s">
        <v>39</v>
      </c>
      <c r="C68" s="3" t="s">
        <v>40</v>
      </c>
      <c r="D68" s="3" t="s">
        <v>40</v>
      </c>
      <c r="E68" s="3" t="s">
        <v>844</v>
      </c>
      <c r="F68" s="3" t="s">
        <v>505</v>
      </c>
      <c r="G68" s="3" t="s">
        <v>506</v>
      </c>
      <c r="H68" s="3" t="s">
        <v>845</v>
      </c>
      <c r="I68" s="3" t="s">
        <v>846</v>
      </c>
      <c r="J68" s="3" t="s">
        <v>477</v>
      </c>
      <c r="K68" s="3" t="s">
        <v>847</v>
      </c>
      <c r="L68" s="3" t="s">
        <v>848</v>
      </c>
      <c r="M68" s="3" t="s">
        <v>849</v>
      </c>
      <c r="N68" s="3" t="s">
        <v>479</v>
      </c>
      <c r="O68" s="3" t="s">
        <v>501</v>
      </c>
      <c r="P68" s="3" t="s">
        <v>501</v>
      </c>
      <c r="Q68" s="3" t="s">
        <v>413</v>
      </c>
      <c r="R68" s="3" t="s">
        <v>512</v>
      </c>
      <c r="S68" s="3" t="s">
        <v>483</v>
      </c>
      <c r="T68" s="3" t="s">
        <v>513</v>
      </c>
    </row>
    <row r="69" spans="1:20" ht="57">
      <c r="A69" s="3" t="s">
        <v>38</v>
      </c>
      <c r="B69" s="3" t="s">
        <v>39</v>
      </c>
      <c r="C69" s="3" t="s">
        <v>40</v>
      </c>
      <c r="D69" s="3" t="s">
        <v>40</v>
      </c>
      <c r="E69" s="3" t="s">
        <v>850</v>
      </c>
      <c r="F69" s="3" t="s">
        <v>515</v>
      </c>
      <c r="G69" s="3" t="s">
        <v>516</v>
      </c>
      <c r="H69" s="3" t="s">
        <v>851</v>
      </c>
      <c r="I69" s="3" t="s">
        <v>852</v>
      </c>
      <c r="J69" s="3" t="s">
        <v>477</v>
      </c>
      <c r="K69" s="3" t="s">
        <v>477</v>
      </c>
      <c r="L69" s="3" t="s">
        <v>853</v>
      </c>
      <c r="M69" s="3" t="s">
        <v>854</v>
      </c>
      <c r="N69" s="3" t="s">
        <v>479</v>
      </c>
      <c r="O69" s="3" t="s">
        <v>501</v>
      </c>
      <c r="P69" s="3" t="s">
        <v>481</v>
      </c>
      <c r="Q69" s="3" t="s">
        <v>387</v>
      </c>
      <c r="R69" s="3" t="s">
        <v>521</v>
      </c>
      <c r="S69" s="3" t="s">
        <v>483</v>
      </c>
      <c r="T69" s="3" t="s">
        <v>522</v>
      </c>
    </row>
    <row r="70" spans="1:20" ht="57">
      <c r="A70" s="3" t="s">
        <v>38</v>
      </c>
      <c r="B70" s="3" t="s">
        <v>39</v>
      </c>
      <c r="C70" s="3" t="s">
        <v>40</v>
      </c>
      <c r="D70" s="3" t="s">
        <v>40</v>
      </c>
      <c r="E70" s="3" t="s">
        <v>855</v>
      </c>
      <c r="F70" s="3" t="s">
        <v>524</v>
      </c>
      <c r="G70" s="3" t="s">
        <v>525</v>
      </c>
      <c r="H70" s="3" t="s">
        <v>856</v>
      </c>
      <c r="I70" s="3" t="s">
        <v>857</v>
      </c>
      <c r="J70" s="3" t="s">
        <v>858</v>
      </c>
      <c r="K70" s="3" t="s">
        <v>859</v>
      </c>
      <c r="L70" s="3" t="s">
        <v>477</v>
      </c>
      <c r="M70" s="3" t="s">
        <v>860</v>
      </c>
      <c r="N70" s="3" t="s">
        <v>531</v>
      </c>
      <c r="O70" s="3" t="s">
        <v>481</v>
      </c>
      <c r="P70" s="3" t="s">
        <v>501</v>
      </c>
      <c r="Q70" s="3" t="s">
        <v>387</v>
      </c>
      <c r="R70" s="3" t="s">
        <v>532</v>
      </c>
      <c r="S70" s="3" t="s">
        <v>483</v>
      </c>
      <c r="T70" s="3" t="s">
        <v>533</v>
      </c>
    </row>
    <row r="71" spans="1:20" ht="71.25">
      <c r="A71" s="3" t="s">
        <v>38</v>
      </c>
      <c r="B71" s="3" t="s">
        <v>39</v>
      </c>
      <c r="C71" s="3" t="s">
        <v>40</v>
      </c>
      <c r="D71" s="3" t="s">
        <v>40</v>
      </c>
      <c r="E71" s="3" t="s">
        <v>861</v>
      </c>
      <c r="F71" s="3" t="s">
        <v>535</v>
      </c>
      <c r="G71" s="3" t="s">
        <v>536</v>
      </c>
      <c r="H71" s="3" t="s">
        <v>862</v>
      </c>
      <c r="I71" s="3" t="s">
        <v>863</v>
      </c>
      <c r="J71" s="3" t="s">
        <v>864</v>
      </c>
      <c r="K71" s="3" t="s">
        <v>865</v>
      </c>
      <c r="L71" s="3" t="s">
        <v>477</v>
      </c>
      <c r="M71" s="3" t="s">
        <v>866</v>
      </c>
      <c r="N71" s="3" t="s">
        <v>542</v>
      </c>
      <c r="O71" s="3" t="s">
        <v>492</v>
      </c>
      <c r="P71" s="3" t="s">
        <v>492</v>
      </c>
      <c r="Q71" s="3" t="s">
        <v>392</v>
      </c>
      <c r="R71" s="3" t="s">
        <v>543</v>
      </c>
      <c r="S71" s="3" t="s">
        <v>483</v>
      </c>
      <c r="T71" s="3" t="s">
        <v>544</v>
      </c>
    </row>
    <row r="72" spans="1:20" ht="85.5">
      <c r="A72" s="3" t="s">
        <v>38</v>
      </c>
      <c r="B72" s="3" t="s">
        <v>39</v>
      </c>
      <c r="C72" s="3" t="s">
        <v>40</v>
      </c>
      <c r="D72" s="3" t="s">
        <v>40</v>
      </c>
      <c r="E72" s="3" t="s">
        <v>867</v>
      </c>
      <c r="F72" s="3" t="s">
        <v>546</v>
      </c>
      <c r="G72" s="3" t="s">
        <v>547</v>
      </c>
      <c r="H72" s="3" t="s">
        <v>868</v>
      </c>
      <c r="I72" s="3" t="s">
        <v>869</v>
      </c>
      <c r="J72" s="3" t="s">
        <v>870</v>
      </c>
      <c r="K72" s="3" t="s">
        <v>477</v>
      </c>
      <c r="L72" s="3" t="s">
        <v>477</v>
      </c>
      <c r="M72" s="3" t="s">
        <v>871</v>
      </c>
      <c r="N72" s="3" t="s">
        <v>552</v>
      </c>
      <c r="O72" s="3" t="s">
        <v>480</v>
      </c>
      <c r="P72" s="3" t="s">
        <v>501</v>
      </c>
      <c r="Q72" s="3" t="s">
        <v>392</v>
      </c>
      <c r="R72" s="3" t="s">
        <v>553</v>
      </c>
      <c r="S72" s="3" t="s">
        <v>483</v>
      </c>
      <c r="T72" s="3" t="s">
        <v>554</v>
      </c>
    </row>
    <row r="73" spans="1:20" ht="99.75">
      <c r="A73" s="3" t="s">
        <v>38</v>
      </c>
      <c r="B73" s="3" t="s">
        <v>39</v>
      </c>
      <c r="C73" s="3" t="s">
        <v>40</v>
      </c>
      <c r="D73" s="3" t="s">
        <v>40</v>
      </c>
      <c r="E73" s="3" t="s">
        <v>872</v>
      </c>
      <c r="F73" s="3" t="s">
        <v>556</v>
      </c>
      <c r="G73" s="3" t="s">
        <v>557</v>
      </c>
      <c r="H73" s="3" t="s">
        <v>873</v>
      </c>
      <c r="I73" s="3" t="s">
        <v>477</v>
      </c>
      <c r="J73" s="3" t="s">
        <v>477</v>
      </c>
      <c r="K73" s="3" t="s">
        <v>477</v>
      </c>
      <c r="L73" s="3" t="s">
        <v>477</v>
      </c>
      <c r="M73" s="3" t="s">
        <v>874</v>
      </c>
      <c r="N73" s="3" t="s">
        <v>492</v>
      </c>
      <c r="O73" s="3" t="s">
        <v>492</v>
      </c>
      <c r="P73" s="3" t="s">
        <v>492</v>
      </c>
      <c r="Q73" s="3" t="s">
        <v>413</v>
      </c>
      <c r="R73" s="3" t="s">
        <v>560</v>
      </c>
      <c r="S73" s="3" t="s">
        <v>483</v>
      </c>
      <c r="T73" s="3" t="s">
        <v>561</v>
      </c>
    </row>
    <row r="74" spans="1:20" ht="71.25">
      <c r="A74" s="3" t="s">
        <v>41</v>
      </c>
      <c r="B74" s="3" t="s">
        <v>42</v>
      </c>
      <c r="C74" s="3" t="s">
        <v>13</v>
      </c>
      <c r="D74" s="3" t="s">
        <v>14</v>
      </c>
      <c r="E74" s="3" t="s">
        <v>875</v>
      </c>
      <c r="F74" s="3" t="s">
        <v>472</v>
      </c>
      <c r="G74" s="3" t="s">
        <v>473</v>
      </c>
      <c r="H74" s="3" t="s">
        <v>876</v>
      </c>
      <c r="I74" s="3" t="s">
        <v>754</v>
      </c>
      <c r="J74" s="3" t="s">
        <v>877</v>
      </c>
      <c r="K74" s="3" t="s">
        <v>477</v>
      </c>
      <c r="L74" s="3" t="s">
        <v>477</v>
      </c>
      <c r="M74" s="3" t="s">
        <v>878</v>
      </c>
      <c r="N74" s="3" t="s">
        <v>479</v>
      </c>
      <c r="O74" s="3" t="s">
        <v>480</v>
      </c>
      <c r="P74" s="3" t="s">
        <v>481</v>
      </c>
      <c r="Q74" s="3" t="s">
        <v>413</v>
      </c>
      <c r="R74" s="3" t="s">
        <v>482</v>
      </c>
      <c r="S74" s="3" t="s">
        <v>483</v>
      </c>
      <c r="T74" s="3" t="s">
        <v>484</v>
      </c>
    </row>
    <row r="75" spans="1:20" ht="71.25">
      <c r="A75" s="3" t="s">
        <v>41</v>
      </c>
      <c r="B75" s="3" t="s">
        <v>42</v>
      </c>
      <c r="C75" s="3" t="s">
        <v>13</v>
      </c>
      <c r="D75" s="3" t="s">
        <v>14</v>
      </c>
      <c r="E75" s="3" t="s">
        <v>879</v>
      </c>
      <c r="F75" s="3" t="s">
        <v>486</v>
      </c>
      <c r="G75" s="3" t="s">
        <v>473</v>
      </c>
      <c r="H75" s="3" t="s">
        <v>880</v>
      </c>
      <c r="I75" s="3" t="s">
        <v>508</v>
      </c>
      <c r="J75" s="3" t="s">
        <v>477</v>
      </c>
      <c r="K75" s="3" t="s">
        <v>881</v>
      </c>
      <c r="L75" s="3" t="s">
        <v>477</v>
      </c>
      <c r="M75" s="3" t="s">
        <v>882</v>
      </c>
      <c r="N75" s="3" t="s">
        <v>491</v>
      </c>
      <c r="O75" s="3" t="s">
        <v>492</v>
      </c>
      <c r="P75" s="3" t="s">
        <v>481</v>
      </c>
      <c r="Q75" s="3" t="s">
        <v>387</v>
      </c>
      <c r="R75" s="3" t="s">
        <v>482</v>
      </c>
      <c r="S75" s="3" t="s">
        <v>483</v>
      </c>
      <c r="T75" s="3" t="s">
        <v>493</v>
      </c>
    </row>
    <row r="76" spans="1:20" ht="57">
      <c r="A76" s="3" t="s">
        <v>41</v>
      </c>
      <c r="B76" s="3" t="s">
        <v>42</v>
      </c>
      <c r="C76" s="3" t="s">
        <v>13</v>
      </c>
      <c r="D76" s="3" t="s">
        <v>14</v>
      </c>
      <c r="E76" s="3" t="s">
        <v>883</v>
      </c>
      <c r="F76" s="3" t="s">
        <v>495</v>
      </c>
      <c r="G76" s="3" t="s">
        <v>496</v>
      </c>
      <c r="H76" s="3" t="s">
        <v>884</v>
      </c>
      <c r="I76" s="3" t="s">
        <v>885</v>
      </c>
      <c r="J76" s="3" t="s">
        <v>886</v>
      </c>
      <c r="K76" s="3" t="s">
        <v>887</v>
      </c>
      <c r="L76" s="3" t="s">
        <v>477</v>
      </c>
      <c r="M76" s="3" t="s">
        <v>661</v>
      </c>
      <c r="N76" s="3" t="s">
        <v>491</v>
      </c>
      <c r="O76" s="3" t="s">
        <v>481</v>
      </c>
      <c r="P76" s="3" t="s">
        <v>501</v>
      </c>
      <c r="Q76" s="3" t="s">
        <v>387</v>
      </c>
      <c r="R76" s="3" t="s">
        <v>502</v>
      </c>
      <c r="S76" s="3" t="s">
        <v>483</v>
      </c>
      <c r="T76" s="3" t="s">
        <v>503</v>
      </c>
    </row>
    <row r="77" spans="1:20" ht="57">
      <c r="A77" s="3" t="s">
        <v>41</v>
      </c>
      <c r="B77" s="3" t="s">
        <v>42</v>
      </c>
      <c r="C77" s="3" t="s">
        <v>13</v>
      </c>
      <c r="D77" s="3" t="s">
        <v>14</v>
      </c>
      <c r="E77" s="3" t="s">
        <v>888</v>
      </c>
      <c r="F77" s="3" t="s">
        <v>505</v>
      </c>
      <c r="G77" s="3" t="s">
        <v>506</v>
      </c>
      <c r="H77" s="3" t="s">
        <v>889</v>
      </c>
      <c r="I77" s="3" t="s">
        <v>890</v>
      </c>
      <c r="J77" s="3" t="s">
        <v>477</v>
      </c>
      <c r="K77" s="3" t="s">
        <v>891</v>
      </c>
      <c r="L77" s="3" t="s">
        <v>892</v>
      </c>
      <c r="M77" s="3" t="s">
        <v>893</v>
      </c>
      <c r="N77" s="3" t="s">
        <v>479</v>
      </c>
      <c r="O77" s="3" t="s">
        <v>501</v>
      </c>
      <c r="P77" s="3" t="s">
        <v>501</v>
      </c>
      <c r="Q77" s="3" t="s">
        <v>413</v>
      </c>
      <c r="R77" s="3" t="s">
        <v>512</v>
      </c>
      <c r="S77" s="3" t="s">
        <v>483</v>
      </c>
      <c r="T77" s="3" t="s">
        <v>513</v>
      </c>
    </row>
    <row r="78" spans="1:20" ht="57">
      <c r="A78" s="3" t="s">
        <v>41</v>
      </c>
      <c r="B78" s="3" t="s">
        <v>42</v>
      </c>
      <c r="C78" s="3" t="s">
        <v>13</v>
      </c>
      <c r="D78" s="3" t="s">
        <v>14</v>
      </c>
      <c r="E78" s="3" t="s">
        <v>894</v>
      </c>
      <c r="F78" s="3" t="s">
        <v>515</v>
      </c>
      <c r="G78" s="3" t="s">
        <v>516</v>
      </c>
      <c r="H78" s="3" t="s">
        <v>669</v>
      </c>
      <c r="I78" s="3" t="s">
        <v>631</v>
      </c>
      <c r="J78" s="3" t="s">
        <v>477</v>
      </c>
      <c r="K78" s="3" t="s">
        <v>477</v>
      </c>
      <c r="L78" s="3" t="s">
        <v>895</v>
      </c>
      <c r="M78" s="3" t="s">
        <v>896</v>
      </c>
      <c r="N78" s="3" t="s">
        <v>479</v>
      </c>
      <c r="O78" s="3" t="s">
        <v>501</v>
      </c>
      <c r="P78" s="3" t="s">
        <v>481</v>
      </c>
      <c r="Q78" s="3" t="s">
        <v>387</v>
      </c>
      <c r="R78" s="3" t="s">
        <v>521</v>
      </c>
      <c r="S78" s="3" t="s">
        <v>483</v>
      </c>
      <c r="T78" s="3" t="s">
        <v>522</v>
      </c>
    </row>
    <row r="79" spans="1:20" ht="57">
      <c r="A79" s="3" t="s">
        <v>41</v>
      </c>
      <c r="B79" s="3" t="s">
        <v>42</v>
      </c>
      <c r="C79" s="3" t="s">
        <v>13</v>
      </c>
      <c r="D79" s="3" t="s">
        <v>14</v>
      </c>
      <c r="E79" s="3" t="s">
        <v>897</v>
      </c>
      <c r="F79" s="3" t="s">
        <v>524</v>
      </c>
      <c r="G79" s="3" t="s">
        <v>525</v>
      </c>
      <c r="H79" s="3" t="s">
        <v>898</v>
      </c>
      <c r="I79" s="3" t="s">
        <v>697</v>
      </c>
      <c r="J79" s="3" t="s">
        <v>899</v>
      </c>
      <c r="K79" s="3" t="s">
        <v>900</v>
      </c>
      <c r="L79" s="3" t="s">
        <v>477</v>
      </c>
      <c r="M79" s="3" t="s">
        <v>901</v>
      </c>
      <c r="N79" s="3" t="s">
        <v>531</v>
      </c>
      <c r="O79" s="3" t="s">
        <v>481</v>
      </c>
      <c r="P79" s="3" t="s">
        <v>501</v>
      </c>
      <c r="Q79" s="3" t="s">
        <v>387</v>
      </c>
      <c r="R79" s="3" t="s">
        <v>532</v>
      </c>
      <c r="S79" s="3" t="s">
        <v>483</v>
      </c>
      <c r="T79" s="3" t="s">
        <v>533</v>
      </c>
    </row>
    <row r="80" spans="1:20" ht="71.25">
      <c r="A80" s="3" t="s">
        <v>41</v>
      </c>
      <c r="B80" s="3" t="s">
        <v>42</v>
      </c>
      <c r="C80" s="3" t="s">
        <v>13</v>
      </c>
      <c r="D80" s="3" t="s">
        <v>14</v>
      </c>
      <c r="E80" s="3" t="s">
        <v>902</v>
      </c>
      <c r="F80" s="3" t="s">
        <v>535</v>
      </c>
      <c r="G80" s="3" t="s">
        <v>536</v>
      </c>
      <c r="H80" s="3" t="s">
        <v>903</v>
      </c>
      <c r="I80" s="3" t="s">
        <v>904</v>
      </c>
      <c r="J80" s="3" t="s">
        <v>905</v>
      </c>
      <c r="K80" s="3" t="s">
        <v>906</v>
      </c>
      <c r="L80" s="3" t="s">
        <v>477</v>
      </c>
      <c r="M80" s="3" t="s">
        <v>907</v>
      </c>
      <c r="N80" s="3" t="s">
        <v>542</v>
      </c>
      <c r="O80" s="3" t="s">
        <v>492</v>
      </c>
      <c r="P80" s="3" t="s">
        <v>492</v>
      </c>
      <c r="Q80" s="3" t="s">
        <v>392</v>
      </c>
      <c r="R80" s="3" t="s">
        <v>543</v>
      </c>
      <c r="S80" s="3" t="s">
        <v>483</v>
      </c>
      <c r="T80" s="3" t="s">
        <v>544</v>
      </c>
    </row>
    <row r="81" spans="1:20" ht="85.5">
      <c r="A81" s="3" t="s">
        <v>41</v>
      </c>
      <c r="B81" s="3" t="s">
        <v>42</v>
      </c>
      <c r="C81" s="3" t="s">
        <v>13</v>
      </c>
      <c r="D81" s="3" t="s">
        <v>14</v>
      </c>
      <c r="E81" s="3" t="s">
        <v>908</v>
      </c>
      <c r="F81" s="3" t="s">
        <v>546</v>
      </c>
      <c r="G81" s="3" t="s">
        <v>547</v>
      </c>
      <c r="H81" s="3" t="s">
        <v>909</v>
      </c>
      <c r="I81" s="3" t="s">
        <v>549</v>
      </c>
      <c r="J81" s="3" t="s">
        <v>910</v>
      </c>
      <c r="K81" s="3" t="s">
        <v>477</v>
      </c>
      <c r="L81" s="3" t="s">
        <v>477</v>
      </c>
      <c r="M81" s="3" t="s">
        <v>911</v>
      </c>
      <c r="N81" s="3" t="s">
        <v>552</v>
      </c>
      <c r="O81" s="3" t="s">
        <v>480</v>
      </c>
      <c r="P81" s="3" t="s">
        <v>501</v>
      </c>
      <c r="Q81" s="3" t="s">
        <v>392</v>
      </c>
      <c r="R81" s="3" t="s">
        <v>553</v>
      </c>
      <c r="S81" s="3" t="s">
        <v>483</v>
      </c>
      <c r="T81" s="3" t="s">
        <v>554</v>
      </c>
    </row>
    <row r="82" spans="1:20" ht="99.75">
      <c r="A82" s="3" t="s">
        <v>41</v>
      </c>
      <c r="B82" s="3" t="s">
        <v>42</v>
      </c>
      <c r="C82" s="3" t="s">
        <v>13</v>
      </c>
      <c r="D82" s="3" t="s">
        <v>14</v>
      </c>
      <c r="E82" s="3" t="s">
        <v>912</v>
      </c>
      <c r="F82" s="3" t="s">
        <v>556</v>
      </c>
      <c r="G82" s="3" t="s">
        <v>557</v>
      </c>
      <c r="H82" s="3" t="s">
        <v>913</v>
      </c>
      <c r="I82" s="3" t="s">
        <v>477</v>
      </c>
      <c r="J82" s="3" t="s">
        <v>477</v>
      </c>
      <c r="K82" s="3" t="s">
        <v>477</v>
      </c>
      <c r="L82" s="3" t="s">
        <v>477</v>
      </c>
      <c r="M82" s="3" t="s">
        <v>914</v>
      </c>
      <c r="N82" s="3" t="s">
        <v>492</v>
      </c>
      <c r="O82" s="3" t="s">
        <v>492</v>
      </c>
      <c r="P82" s="3" t="s">
        <v>492</v>
      </c>
      <c r="Q82" s="3" t="s">
        <v>413</v>
      </c>
      <c r="R82" s="3" t="s">
        <v>560</v>
      </c>
      <c r="S82" s="3" t="s">
        <v>483</v>
      </c>
      <c r="T82" s="3" t="s">
        <v>561</v>
      </c>
    </row>
    <row r="83" spans="1:20" ht="71.25">
      <c r="A83" s="3" t="s">
        <v>43</v>
      </c>
      <c r="B83" s="3" t="s">
        <v>44</v>
      </c>
      <c r="C83" s="3" t="s">
        <v>45</v>
      </c>
      <c r="D83" s="3" t="s">
        <v>45</v>
      </c>
      <c r="E83" s="3" t="s">
        <v>915</v>
      </c>
      <c r="F83" s="3" t="s">
        <v>472</v>
      </c>
      <c r="G83" s="3" t="s">
        <v>473</v>
      </c>
      <c r="H83" s="3" t="s">
        <v>916</v>
      </c>
      <c r="I83" s="3" t="s">
        <v>743</v>
      </c>
      <c r="J83" s="3" t="s">
        <v>917</v>
      </c>
      <c r="K83" s="3" t="s">
        <v>477</v>
      </c>
      <c r="L83" s="3" t="s">
        <v>477</v>
      </c>
      <c r="M83" s="3" t="s">
        <v>918</v>
      </c>
      <c r="N83" s="3" t="s">
        <v>479</v>
      </c>
      <c r="O83" s="3" t="s">
        <v>480</v>
      </c>
      <c r="P83" s="3" t="s">
        <v>481</v>
      </c>
      <c r="Q83" s="3" t="s">
        <v>413</v>
      </c>
      <c r="R83" s="3" t="s">
        <v>482</v>
      </c>
      <c r="S83" s="3" t="s">
        <v>483</v>
      </c>
      <c r="T83" s="3" t="s">
        <v>484</v>
      </c>
    </row>
    <row r="84" spans="1:20" ht="71.25">
      <c r="A84" s="3" t="s">
        <v>43</v>
      </c>
      <c r="B84" s="3" t="s">
        <v>44</v>
      </c>
      <c r="C84" s="3" t="s">
        <v>45</v>
      </c>
      <c r="D84" s="3" t="s">
        <v>45</v>
      </c>
      <c r="E84" s="3" t="s">
        <v>919</v>
      </c>
      <c r="F84" s="3" t="s">
        <v>486</v>
      </c>
      <c r="G84" s="3" t="s">
        <v>473</v>
      </c>
      <c r="H84" s="3" t="s">
        <v>920</v>
      </c>
      <c r="I84" s="3" t="s">
        <v>921</v>
      </c>
      <c r="J84" s="3" t="s">
        <v>477</v>
      </c>
      <c r="K84" s="3" t="s">
        <v>922</v>
      </c>
      <c r="L84" s="3" t="s">
        <v>477</v>
      </c>
      <c r="M84" s="3" t="s">
        <v>923</v>
      </c>
      <c r="N84" s="3" t="s">
        <v>491</v>
      </c>
      <c r="O84" s="3" t="s">
        <v>492</v>
      </c>
      <c r="P84" s="3" t="s">
        <v>481</v>
      </c>
      <c r="Q84" s="3" t="s">
        <v>387</v>
      </c>
      <c r="R84" s="3" t="s">
        <v>482</v>
      </c>
      <c r="S84" s="3" t="s">
        <v>483</v>
      </c>
      <c r="T84" s="3" t="s">
        <v>493</v>
      </c>
    </row>
    <row r="85" spans="1:20" ht="57">
      <c r="A85" s="3" t="s">
        <v>43</v>
      </c>
      <c r="B85" s="3" t="s">
        <v>44</v>
      </c>
      <c r="C85" s="3" t="s">
        <v>45</v>
      </c>
      <c r="D85" s="3" t="s">
        <v>45</v>
      </c>
      <c r="E85" s="3" t="s">
        <v>924</v>
      </c>
      <c r="F85" s="3" t="s">
        <v>495</v>
      </c>
      <c r="G85" s="3" t="s">
        <v>496</v>
      </c>
      <c r="H85" s="3" t="s">
        <v>925</v>
      </c>
      <c r="I85" s="3" t="s">
        <v>743</v>
      </c>
      <c r="J85" s="3" t="s">
        <v>926</v>
      </c>
      <c r="K85" s="3" t="s">
        <v>927</v>
      </c>
      <c r="L85" s="3" t="s">
        <v>477</v>
      </c>
      <c r="M85" s="3" t="s">
        <v>928</v>
      </c>
      <c r="N85" s="3" t="s">
        <v>491</v>
      </c>
      <c r="O85" s="3" t="s">
        <v>481</v>
      </c>
      <c r="P85" s="3" t="s">
        <v>501</v>
      </c>
      <c r="Q85" s="3" t="s">
        <v>387</v>
      </c>
      <c r="R85" s="3" t="s">
        <v>502</v>
      </c>
      <c r="S85" s="3" t="s">
        <v>483</v>
      </c>
      <c r="T85" s="3" t="s">
        <v>503</v>
      </c>
    </row>
    <row r="86" spans="1:20" ht="57">
      <c r="A86" s="3" t="s">
        <v>43</v>
      </c>
      <c r="B86" s="3" t="s">
        <v>44</v>
      </c>
      <c r="C86" s="3" t="s">
        <v>45</v>
      </c>
      <c r="D86" s="3" t="s">
        <v>45</v>
      </c>
      <c r="E86" s="3" t="s">
        <v>929</v>
      </c>
      <c r="F86" s="3" t="s">
        <v>505</v>
      </c>
      <c r="G86" s="3" t="s">
        <v>506</v>
      </c>
      <c r="H86" s="3" t="s">
        <v>930</v>
      </c>
      <c r="I86" s="3" t="s">
        <v>931</v>
      </c>
      <c r="J86" s="3" t="s">
        <v>477</v>
      </c>
      <c r="K86" s="3" t="s">
        <v>932</v>
      </c>
      <c r="L86" s="3" t="s">
        <v>933</v>
      </c>
      <c r="M86" s="3" t="s">
        <v>934</v>
      </c>
      <c r="N86" s="3" t="s">
        <v>479</v>
      </c>
      <c r="O86" s="3" t="s">
        <v>501</v>
      </c>
      <c r="P86" s="3" t="s">
        <v>501</v>
      </c>
      <c r="Q86" s="3" t="s">
        <v>413</v>
      </c>
      <c r="R86" s="3" t="s">
        <v>512</v>
      </c>
      <c r="S86" s="3" t="s">
        <v>483</v>
      </c>
      <c r="T86" s="3" t="s">
        <v>513</v>
      </c>
    </row>
    <row r="87" spans="1:20" ht="57">
      <c r="A87" s="3" t="s">
        <v>43</v>
      </c>
      <c r="B87" s="3" t="s">
        <v>44</v>
      </c>
      <c r="C87" s="3" t="s">
        <v>45</v>
      </c>
      <c r="D87" s="3" t="s">
        <v>45</v>
      </c>
      <c r="E87" s="3" t="s">
        <v>935</v>
      </c>
      <c r="F87" s="3" t="s">
        <v>515</v>
      </c>
      <c r="G87" s="3" t="s">
        <v>516</v>
      </c>
      <c r="H87" s="3" t="s">
        <v>936</v>
      </c>
      <c r="I87" s="3" t="s">
        <v>518</v>
      </c>
      <c r="J87" s="3" t="s">
        <v>477</v>
      </c>
      <c r="K87" s="3" t="s">
        <v>477</v>
      </c>
      <c r="L87" s="3" t="s">
        <v>937</v>
      </c>
      <c r="M87" s="3" t="s">
        <v>938</v>
      </c>
      <c r="N87" s="3" t="s">
        <v>479</v>
      </c>
      <c r="O87" s="3" t="s">
        <v>501</v>
      </c>
      <c r="P87" s="3" t="s">
        <v>481</v>
      </c>
      <c r="Q87" s="3" t="s">
        <v>387</v>
      </c>
      <c r="R87" s="3" t="s">
        <v>521</v>
      </c>
      <c r="S87" s="3" t="s">
        <v>483</v>
      </c>
      <c r="T87" s="3" t="s">
        <v>522</v>
      </c>
    </row>
    <row r="88" spans="1:20" ht="57">
      <c r="A88" s="3" t="s">
        <v>43</v>
      </c>
      <c r="B88" s="3" t="s">
        <v>44</v>
      </c>
      <c r="C88" s="3" t="s">
        <v>45</v>
      </c>
      <c r="D88" s="3" t="s">
        <v>45</v>
      </c>
      <c r="E88" s="3" t="s">
        <v>939</v>
      </c>
      <c r="F88" s="3" t="s">
        <v>524</v>
      </c>
      <c r="G88" s="3" t="s">
        <v>525</v>
      </c>
      <c r="H88" s="3" t="s">
        <v>940</v>
      </c>
      <c r="I88" s="3" t="s">
        <v>941</v>
      </c>
      <c r="J88" s="3" t="s">
        <v>942</v>
      </c>
      <c r="K88" s="3" t="s">
        <v>943</v>
      </c>
      <c r="L88" s="3" t="s">
        <v>477</v>
      </c>
      <c r="M88" s="3" t="s">
        <v>944</v>
      </c>
      <c r="N88" s="3" t="s">
        <v>531</v>
      </c>
      <c r="O88" s="3" t="s">
        <v>481</v>
      </c>
      <c r="P88" s="3" t="s">
        <v>501</v>
      </c>
      <c r="Q88" s="3" t="s">
        <v>387</v>
      </c>
      <c r="R88" s="3" t="s">
        <v>532</v>
      </c>
      <c r="S88" s="3" t="s">
        <v>483</v>
      </c>
      <c r="T88" s="3" t="s">
        <v>533</v>
      </c>
    </row>
    <row r="89" spans="1:20" ht="71.25">
      <c r="A89" s="3" t="s">
        <v>43</v>
      </c>
      <c r="B89" s="3" t="s">
        <v>44</v>
      </c>
      <c r="C89" s="3" t="s">
        <v>45</v>
      </c>
      <c r="D89" s="3" t="s">
        <v>45</v>
      </c>
      <c r="E89" s="3" t="s">
        <v>945</v>
      </c>
      <c r="F89" s="3" t="s">
        <v>535</v>
      </c>
      <c r="G89" s="3" t="s">
        <v>536</v>
      </c>
      <c r="H89" s="3" t="s">
        <v>946</v>
      </c>
      <c r="I89" s="3" t="s">
        <v>947</v>
      </c>
      <c r="J89" s="3" t="s">
        <v>948</v>
      </c>
      <c r="K89" s="3" t="s">
        <v>949</v>
      </c>
      <c r="L89" s="3" t="s">
        <v>477</v>
      </c>
      <c r="M89" s="3" t="s">
        <v>950</v>
      </c>
      <c r="N89" s="3" t="s">
        <v>542</v>
      </c>
      <c r="O89" s="3" t="s">
        <v>492</v>
      </c>
      <c r="P89" s="3" t="s">
        <v>492</v>
      </c>
      <c r="Q89" s="3" t="s">
        <v>392</v>
      </c>
      <c r="R89" s="3" t="s">
        <v>543</v>
      </c>
      <c r="S89" s="3" t="s">
        <v>483</v>
      </c>
      <c r="T89" s="3" t="s">
        <v>544</v>
      </c>
    </row>
    <row r="90" spans="1:20" ht="85.5">
      <c r="A90" s="3" t="s">
        <v>43</v>
      </c>
      <c r="B90" s="3" t="s">
        <v>44</v>
      </c>
      <c r="C90" s="3" t="s">
        <v>45</v>
      </c>
      <c r="D90" s="3" t="s">
        <v>45</v>
      </c>
      <c r="E90" s="3" t="s">
        <v>951</v>
      </c>
      <c r="F90" s="3" t="s">
        <v>546</v>
      </c>
      <c r="G90" s="3" t="s">
        <v>547</v>
      </c>
      <c r="H90" s="3" t="s">
        <v>952</v>
      </c>
      <c r="I90" s="3" t="s">
        <v>549</v>
      </c>
      <c r="J90" s="3" t="s">
        <v>953</v>
      </c>
      <c r="K90" s="3" t="s">
        <v>477</v>
      </c>
      <c r="L90" s="3" t="s">
        <v>477</v>
      </c>
      <c r="M90" s="3" t="s">
        <v>954</v>
      </c>
      <c r="N90" s="3" t="s">
        <v>552</v>
      </c>
      <c r="O90" s="3" t="s">
        <v>480</v>
      </c>
      <c r="P90" s="3" t="s">
        <v>501</v>
      </c>
      <c r="Q90" s="3" t="s">
        <v>392</v>
      </c>
      <c r="R90" s="3" t="s">
        <v>553</v>
      </c>
      <c r="S90" s="3" t="s">
        <v>483</v>
      </c>
      <c r="T90" s="3" t="s">
        <v>554</v>
      </c>
    </row>
    <row r="91" spans="1:20" ht="99.75">
      <c r="A91" s="3" t="s">
        <v>43</v>
      </c>
      <c r="B91" s="3" t="s">
        <v>44</v>
      </c>
      <c r="C91" s="3" t="s">
        <v>45</v>
      </c>
      <c r="D91" s="3" t="s">
        <v>45</v>
      </c>
      <c r="E91" s="3" t="s">
        <v>955</v>
      </c>
      <c r="F91" s="3" t="s">
        <v>556</v>
      </c>
      <c r="G91" s="3" t="s">
        <v>557</v>
      </c>
      <c r="H91" s="3" t="s">
        <v>956</v>
      </c>
      <c r="I91" s="3" t="s">
        <v>477</v>
      </c>
      <c r="J91" s="3" t="s">
        <v>477</v>
      </c>
      <c r="K91" s="3" t="s">
        <v>477</v>
      </c>
      <c r="L91" s="3" t="s">
        <v>477</v>
      </c>
      <c r="M91" s="3" t="s">
        <v>957</v>
      </c>
      <c r="N91" s="3" t="s">
        <v>492</v>
      </c>
      <c r="O91" s="3" t="s">
        <v>492</v>
      </c>
      <c r="P91" s="3" t="s">
        <v>492</v>
      </c>
      <c r="Q91" s="3" t="s">
        <v>413</v>
      </c>
      <c r="R91" s="3" t="s">
        <v>560</v>
      </c>
      <c r="S91" s="3" t="s">
        <v>483</v>
      </c>
      <c r="T91" s="3" t="s">
        <v>561</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C2275-157D-4CD8-AB98-C7ED69BE8040}">
  <dimension ref="A1:AG30"/>
  <sheetViews>
    <sheetView workbookViewId="0">
      <selection activeCell="J12" sqref="J12"/>
    </sheetView>
  </sheetViews>
  <sheetFormatPr defaultRowHeight="14.25"/>
  <cols>
    <col min="1" max="1" width="20.875" style="22" customWidth="1"/>
    <col min="2" max="21" width="20.375" style="22" customWidth="1"/>
    <col min="22" max="22" width="34.25" customWidth="1"/>
    <col min="23" max="23" width="17.625" customWidth="1"/>
  </cols>
  <sheetData>
    <row r="1" spans="1:33" ht="30">
      <c r="A1" s="44" t="s">
        <v>0</v>
      </c>
      <c r="B1" s="44" t="s">
        <v>1</v>
      </c>
      <c r="C1" s="44" t="s">
        <v>1155</v>
      </c>
      <c r="D1" s="44" t="s">
        <v>1156</v>
      </c>
      <c r="E1" s="44" t="s">
        <v>460</v>
      </c>
      <c r="F1" s="44" t="s">
        <v>1157</v>
      </c>
      <c r="G1" s="44" t="s">
        <v>1158</v>
      </c>
      <c r="H1" s="44" t="s">
        <v>462</v>
      </c>
      <c r="I1" s="44" t="s">
        <v>463</v>
      </c>
      <c r="J1" s="44" t="s">
        <v>1159</v>
      </c>
      <c r="K1" s="44" t="s">
        <v>1160</v>
      </c>
      <c r="L1" s="44" t="s">
        <v>1161</v>
      </c>
      <c r="M1" s="44" t="s">
        <v>1162</v>
      </c>
      <c r="N1" s="44" t="s">
        <v>1163</v>
      </c>
      <c r="O1" s="44" t="s">
        <v>1164</v>
      </c>
      <c r="P1" s="44" t="s">
        <v>1165</v>
      </c>
      <c r="Q1" s="44" t="s">
        <v>1166</v>
      </c>
      <c r="R1" s="44" t="s">
        <v>1167</v>
      </c>
      <c r="S1" s="44" t="s">
        <v>1168</v>
      </c>
      <c r="T1" s="44" t="s">
        <v>469</v>
      </c>
      <c r="U1" s="44" t="s">
        <v>1169</v>
      </c>
      <c r="V1" s="44" t="s">
        <v>1183</v>
      </c>
      <c r="W1" s="44" t="s">
        <v>1184</v>
      </c>
    </row>
    <row r="2" spans="1:33" ht="28.5" customHeight="1">
      <c r="A2" s="15" t="s">
        <v>17</v>
      </c>
      <c r="B2" s="15" t="s">
        <v>18</v>
      </c>
      <c r="C2" s="15" t="s">
        <v>1170</v>
      </c>
      <c r="D2" s="15" t="s">
        <v>1171</v>
      </c>
      <c r="E2" s="22">
        <v>12000</v>
      </c>
      <c r="F2" s="22">
        <v>0</v>
      </c>
      <c r="G2" s="22">
        <f>E2-F2</f>
        <v>12000</v>
      </c>
      <c r="H2" s="22">
        <v>0</v>
      </c>
      <c r="I2" s="22">
        <v>0</v>
      </c>
      <c r="J2" s="22">
        <v>0</v>
      </c>
      <c r="L2" s="22">
        <f>(H2*0.145)+(I2*1.1)</f>
        <v>0</v>
      </c>
      <c r="M2" s="22">
        <f>J2*0.012</f>
        <v>0</v>
      </c>
      <c r="N2" s="22">
        <f>K2+L2+M2</f>
        <v>0</v>
      </c>
      <c r="O2" s="22">
        <f>((H2*0.527779)+(I2*5.31145))/1000</f>
        <v>0</v>
      </c>
      <c r="P2" s="31" t="str">
        <f>IF(N2=0,"No savings",G2/N2)</f>
        <v>No savings</v>
      </c>
      <c r="Q2" s="31" t="str">
        <f>IF(O2=0,"No emissions reduction",G2/O2)</f>
        <v>No emissions reduction</v>
      </c>
      <c r="R2" s="22">
        <f>N2</f>
        <v>0</v>
      </c>
      <c r="S2" s="31">
        <f>R2/0.05</f>
        <v>0</v>
      </c>
      <c r="T2" s="15" t="s">
        <v>413</v>
      </c>
      <c r="U2" s="22" t="str">
        <f>IF(C2="Energy audit","Enabling Step",IF(P2="No savings","Low Priority",IF(AND(P2&lt;=5,O2&gt;10),"High Priority",IF(P2&lt;=8,"Medium Priority","Low Priority"))))</f>
        <v>Enabling Step</v>
      </c>
      <c r="V2" s="26" t="str">
        <f>IF(U2="High Priority","Advance to vendor quote / audit scope",IF(U2="Medium Priority","Include in operating improvement plan",IF(U2="Enabling Step","Complete before final capex decision","Monitor or defer")))</f>
        <v>Complete before final capex decision</v>
      </c>
      <c r="W2" s="3" t="str">
        <f>IF(S2&gt;0,"Estimated value impact assumes annual savings are capitalized at a 5% cap rate","No direct value impact estimated")</f>
        <v>No direct value impact estimated</v>
      </c>
      <c r="Z2" s="52" t="s">
        <v>1182</v>
      </c>
      <c r="AA2" s="52"/>
      <c r="AB2" s="52"/>
      <c r="AC2" s="52"/>
      <c r="AD2" s="52"/>
      <c r="AE2" s="52"/>
      <c r="AF2" s="52"/>
      <c r="AG2" s="52"/>
    </row>
    <row r="3" spans="1:33" ht="28.5" customHeight="1">
      <c r="A3" s="15" t="s">
        <v>17</v>
      </c>
      <c r="B3" s="15" t="s">
        <v>18</v>
      </c>
      <c r="C3" s="15" t="s">
        <v>1172</v>
      </c>
      <c r="D3" s="15" t="s">
        <v>1173</v>
      </c>
      <c r="E3" s="22">
        <v>45000</v>
      </c>
      <c r="F3" s="22">
        <v>8000</v>
      </c>
      <c r="G3" s="22">
        <f t="shared" ref="G3:G14" si="0">E3-F3</f>
        <v>37000</v>
      </c>
      <c r="H3" s="22">
        <v>0</v>
      </c>
      <c r="I3" s="22">
        <v>9000</v>
      </c>
      <c r="J3" s="22">
        <v>0</v>
      </c>
      <c r="K3" s="22">
        <v>0</v>
      </c>
      <c r="L3" s="22">
        <f t="shared" ref="L3:L14" si="1">(H3*0.145)+(I3*1.1)</f>
        <v>9900</v>
      </c>
      <c r="M3" s="22">
        <f t="shared" ref="M3:M14" si="2">J3*0.012</f>
        <v>0</v>
      </c>
      <c r="N3" s="22">
        <f t="shared" ref="N3:N14" si="3">K3+L3+M3</f>
        <v>9900</v>
      </c>
      <c r="O3" s="22">
        <f t="shared" ref="O3:O14" si="4">((H3*0.527779)+(I3*5.31145))/1000</f>
        <v>47.803049999999999</v>
      </c>
      <c r="P3" s="31">
        <f t="shared" ref="P3:P14" si="5">IF(N3=0,"No savings",G3/N3)</f>
        <v>3.7373737373737375</v>
      </c>
      <c r="Q3" s="31">
        <f t="shared" ref="Q3:Q14" si="6">IF(O3=0,"No emissions reduction",G3/O3)</f>
        <v>774.00918979019127</v>
      </c>
      <c r="R3" s="22">
        <f t="shared" ref="R3:R14" si="7">N3</f>
        <v>9900</v>
      </c>
      <c r="S3" s="31">
        <f t="shared" ref="S3:S14" si="8">R3/0.05</f>
        <v>198000</v>
      </c>
      <c r="T3" s="15" t="s">
        <v>387</v>
      </c>
      <c r="U3" s="22" t="str">
        <f t="shared" ref="U3:U14" si="9">IF(C3="Energy audit","Enabling Step",IF(P3="No savings","Low Priority",IF(AND(P3&lt;=5,O3&gt;10),"High Priority",IF(P3&lt;=8,"Medium Priority","Low Priority"))))</f>
        <v>High Priority</v>
      </c>
      <c r="V3" s="26" t="str">
        <f t="shared" ref="V3:V14" si="10">IF(U3="High Priority","Advance to vendor quote / audit scope",IF(U3="Medium Priority","Include in operating improvement plan",IF(U3="Enabling Step","Complete before final capex decision","Monitor or defer")))</f>
        <v>Advance to vendor quote / audit scope</v>
      </c>
      <c r="W3" s="3" t="str">
        <f t="shared" ref="W3:W14" si="11">IF(S3&gt;0,"Estimated value impact assumes annual savings are capitalized at a 5% cap rate","No direct value impact estimated")</f>
        <v>Estimated value impact assumes annual savings are capitalized at a 5% cap rate</v>
      </c>
      <c r="Z3" s="52"/>
      <c r="AA3" s="52"/>
      <c r="AB3" s="52"/>
      <c r="AC3" s="52"/>
      <c r="AD3" s="52"/>
      <c r="AE3" s="52"/>
      <c r="AF3" s="52"/>
      <c r="AG3" s="52"/>
    </row>
    <row r="4" spans="1:33" ht="28.5" customHeight="1">
      <c r="A4" s="15" t="s">
        <v>17</v>
      </c>
      <c r="B4" s="15" t="s">
        <v>18</v>
      </c>
      <c r="C4" s="15" t="s">
        <v>1174</v>
      </c>
      <c r="D4" s="15" t="s">
        <v>1175</v>
      </c>
      <c r="E4" s="22">
        <v>65000</v>
      </c>
      <c r="F4" s="22">
        <v>10000</v>
      </c>
      <c r="G4" s="22">
        <f t="shared" si="0"/>
        <v>55000</v>
      </c>
      <c r="H4" s="22">
        <v>180000</v>
      </c>
      <c r="I4" s="22">
        <v>0</v>
      </c>
      <c r="J4" s="22">
        <v>0</v>
      </c>
      <c r="K4" s="22">
        <v>0</v>
      </c>
      <c r="L4" s="22">
        <f t="shared" si="1"/>
        <v>26100</v>
      </c>
      <c r="M4" s="22">
        <f t="shared" si="2"/>
        <v>0</v>
      </c>
      <c r="N4" s="22">
        <f t="shared" si="3"/>
        <v>26100</v>
      </c>
      <c r="O4" s="22">
        <f t="shared" si="4"/>
        <v>95.000219999999999</v>
      </c>
      <c r="P4" s="31">
        <f t="shared" si="5"/>
        <v>2.1072796934865901</v>
      </c>
      <c r="Q4" s="31">
        <f t="shared" si="6"/>
        <v>578.9460277039359</v>
      </c>
      <c r="R4" s="22">
        <f t="shared" si="7"/>
        <v>26100</v>
      </c>
      <c r="S4" s="31">
        <f t="shared" si="8"/>
        <v>522000</v>
      </c>
      <c r="T4" s="15" t="s">
        <v>387</v>
      </c>
      <c r="U4" s="22" t="str">
        <f t="shared" si="9"/>
        <v>High Priority</v>
      </c>
      <c r="V4" s="26" t="str">
        <f t="shared" si="10"/>
        <v>Advance to vendor quote / audit scope</v>
      </c>
      <c r="W4" s="3" t="str">
        <f t="shared" si="11"/>
        <v>Estimated value impact assumes annual savings are capitalized at a 5% cap rate</v>
      </c>
      <c r="Z4" s="52"/>
      <c r="AA4" s="52"/>
      <c r="AB4" s="52"/>
      <c r="AC4" s="52"/>
      <c r="AD4" s="52"/>
      <c r="AE4" s="52"/>
      <c r="AF4" s="52"/>
      <c r="AG4" s="52"/>
    </row>
    <row r="5" spans="1:33" ht="28.5" customHeight="1">
      <c r="A5" s="15" t="s">
        <v>17</v>
      </c>
      <c r="B5" s="15" t="s">
        <v>18</v>
      </c>
      <c r="C5" s="15" t="s">
        <v>1176</v>
      </c>
      <c r="D5" s="15" t="s">
        <v>1177</v>
      </c>
      <c r="E5" s="22">
        <v>15000</v>
      </c>
      <c r="F5" s="22">
        <v>0</v>
      </c>
      <c r="G5" s="22">
        <f t="shared" si="0"/>
        <v>15000</v>
      </c>
      <c r="H5" s="22">
        <v>0</v>
      </c>
      <c r="I5" s="22">
        <v>0</v>
      </c>
      <c r="J5" s="22">
        <v>0</v>
      </c>
      <c r="K5" s="22">
        <v>5000</v>
      </c>
      <c r="L5" s="22">
        <f t="shared" si="1"/>
        <v>0</v>
      </c>
      <c r="M5" s="22">
        <f t="shared" si="2"/>
        <v>0</v>
      </c>
      <c r="N5" s="22">
        <f t="shared" si="3"/>
        <v>5000</v>
      </c>
      <c r="O5" s="22">
        <f t="shared" si="4"/>
        <v>0</v>
      </c>
      <c r="P5" s="31">
        <f t="shared" si="5"/>
        <v>3</v>
      </c>
      <c r="Q5" s="31" t="str">
        <f t="shared" si="6"/>
        <v>No emissions reduction</v>
      </c>
      <c r="R5" s="22">
        <f t="shared" si="7"/>
        <v>5000</v>
      </c>
      <c r="S5" s="31">
        <f t="shared" si="8"/>
        <v>100000</v>
      </c>
      <c r="T5" s="15" t="s">
        <v>413</v>
      </c>
      <c r="U5" s="22" t="str">
        <f t="shared" si="9"/>
        <v>Medium Priority</v>
      </c>
      <c r="V5" s="26" t="str">
        <f t="shared" si="10"/>
        <v>Include in operating improvement plan</v>
      </c>
      <c r="W5" s="3" t="str">
        <f t="shared" si="11"/>
        <v>Estimated value impact assumes annual savings are capitalized at a 5% cap rate</v>
      </c>
      <c r="Z5" s="52"/>
      <c r="AA5" s="52"/>
      <c r="AB5" s="52"/>
      <c r="AC5" s="52"/>
      <c r="AD5" s="52"/>
      <c r="AE5" s="52"/>
      <c r="AF5" s="52"/>
      <c r="AG5" s="52"/>
    </row>
    <row r="6" spans="1:33" ht="28.5">
      <c r="A6" s="15" t="s">
        <v>31</v>
      </c>
      <c r="B6" s="15" t="s">
        <v>32</v>
      </c>
      <c r="C6" s="15" t="s">
        <v>1170</v>
      </c>
      <c r="D6" s="15" t="s">
        <v>1171</v>
      </c>
      <c r="E6" s="22">
        <v>12000</v>
      </c>
      <c r="F6" s="22">
        <v>0</v>
      </c>
      <c r="G6" s="22">
        <f t="shared" si="0"/>
        <v>12000</v>
      </c>
      <c r="H6" s="22">
        <v>0</v>
      </c>
      <c r="I6" s="22">
        <v>0</v>
      </c>
      <c r="J6" s="22">
        <v>0</v>
      </c>
      <c r="K6" s="22">
        <v>0</v>
      </c>
      <c r="L6" s="22">
        <f t="shared" si="1"/>
        <v>0</v>
      </c>
      <c r="M6" s="22">
        <f t="shared" si="2"/>
        <v>0</v>
      </c>
      <c r="N6" s="22">
        <f t="shared" si="3"/>
        <v>0</v>
      </c>
      <c r="O6" s="22">
        <f t="shared" si="4"/>
        <v>0</v>
      </c>
      <c r="P6" s="31" t="str">
        <f t="shared" si="5"/>
        <v>No savings</v>
      </c>
      <c r="Q6" s="31" t="str">
        <f t="shared" si="6"/>
        <v>No emissions reduction</v>
      </c>
      <c r="R6" s="22">
        <f t="shared" si="7"/>
        <v>0</v>
      </c>
      <c r="S6" s="31">
        <f t="shared" si="8"/>
        <v>0</v>
      </c>
      <c r="T6" s="15" t="s">
        <v>413</v>
      </c>
      <c r="U6" s="22" t="str">
        <f t="shared" si="9"/>
        <v>Enabling Step</v>
      </c>
      <c r="V6" s="26" t="str">
        <f t="shared" si="10"/>
        <v>Complete before final capex decision</v>
      </c>
      <c r="W6" s="3" t="str">
        <f t="shared" si="11"/>
        <v>No direct value impact estimated</v>
      </c>
      <c r="Z6" s="52"/>
      <c r="AA6" s="52"/>
      <c r="AB6" s="52"/>
      <c r="AC6" s="52"/>
      <c r="AD6" s="52"/>
      <c r="AE6" s="52"/>
      <c r="AF6" s="52"/>
      <c r="AG6" s="52"/>
    </row>
    <row r="7" spans="1:33" ht="28.5" customHeight="1">
      <c r="A7" s="15" t="s">
        <v>31</v>
      </c>
      <c r="B7" s="15" t="s">
        <v>32</v>
      </c>
      <c r="C7" s="15" t="s">
        <v>1172</v>
      </c>
      <c r="D7" s="15" t="s">
        <v>1173</v>
      </c>
      <c r="E7" s="22">
        <v>45000</v>
      </c>
      <c r="F7" s="22">
        <v>8000</v>
      </c>
      <c r="G7" s="22">
        <f t="shared" si="0"/>
        <v>37000</v>
      </c>
      <c r="H7" s="22">
        <v>0</v>
      </c>
      <c r="I7" s="22">
        <v>9000</v>
      </c>
      <c r="J7" s="22">
        <v>0</v>
      </c>
      <c r="K7" s="22">
        <v>0</v>
      </c>
      <c r="L7" s="22">
        <f t="shared" si="1"/>
        <v>9900</v>
      </c>
      <c r="M7" s="22">
        <f t="shared" si="2"/>
        <v>0</v>
      </c>
      <c r="N7" s="22">
        <f t="shared" si="3"/>
        <v>9900</v>
      </c>
      <c r="O7" s="22">
        <f t="shared" si="4"/>
        <v>47.803049999999999</v>
      </c>
      <c r="P7" s="31">
        <f t="shared" si="5"/>
        <v>3.7373737373737375</v>
      </c>
      <c r="Q7" s="31">
        <f t="shared" si="6"/>
        <v>774.00918979019127</v>
      </c>
      <c r="R7" s="22">
        <f t="shared" si="7"/>
        <v>9900</v>
      </c>
      <c r="S7" s="31">
        <f t="shared" si="8"/>
        <v>198000</v>
      </c>
      <c r="T7" s="15" t="s">
        <v>387</v>
      </c>
      <c r="U7" s="22" t="str">
        <f t="shared" si="9"/>
        <v>High Priority</v>
      </c>
      <c r="V7" s="26" t="str">
        <f t="shared" si="10"/>
        <v>Advance to vendor quote / audit scope</v>
      </c>
      <c r="W7" s="3" t="str">
        <f t="shared" si="11"/>
        <v>Estimated value impact assumes annual savings are capitalized at a 5% cap rate</v>
      </c>
      <c r="Z7" s="20"/>
      <c r="AA7" s="20"/>
      <c r="AB7" s="20"/>
      <c r="AC7" s="20"/>
      <c r="AD7" s="20"/>
      <c r="AE7" s="20"/>
      <c r="AF7" s="20"/>
    </row>
    <row r="8" spans="1:33" ht="28.5" customHeight="1">
      <c r="A8" s="15" t="s">
        <v>31</v>
      </c>
      <c r="B8" s="15" t="s">
        <v>32</v>
      </c>
      <c r="C8" s="15" t="s">
        <v>1174</v>
      </c>
      <c r="D8" s="15" t="s">
        <v>1175</v>
      </c>
      <c r="E8" s="22">
        <v>65000</v>
      </c>
      <c r="F8" s="22">
        <v>10000</v>
      </c>
      <c r="G8" s="22">
        <f t="shared" si="0"/>
        <v>55000</v>
      </c>
      <c r="H8" s="22">
        <v>180000</v>
      </c>
      <c r="I8" s="22">
        <v>0</v>
      </c>
      <c r="J8" s="22">
        <v>0</v>
      </c>
      <c r="K8" s="22">
        <v>0</v>
      </c>
      <c r="L8" s="22">
        <f t="shared" si="1"/>
        <v>26100</v>
      </c>
      <c r="M8" s="22">
        <f t="shared" si="2"/>
        <v>0</v>
      </c>
      <c r="N8" s="22">
        <f t="shared" si="3"/>
        <v>26100</v>
      </c>
      <c r="O8" s="22">
        <f t="shared" si="4"/>
        <v>95.000219999999999</v>
      </c>
      <c r="P8" s="31">
        <f t="shared" si="5"/>
        <v>2.1072796934865901</v>
      </c>
      <c r="Q8" s="31">
        <f t="shared" si="6"/>
        <v>578.9460277039359</v>
      </c>
      <c r="R8" s="22">
        <f t="shared" si="7"/>
        <v>26100</v>
      </c>
      <c r="S8" s="31">
        <f t="shared" si="8"/>
        <v>522000</v>
      </c>
      <c r="T8" s="15" t="s">
        <v>387</v>
      </c>
      <c r="U8" s="22" t="str">
        <f t="shared" si="9"/>
        <v>High Priority</v>
      </c>
      <c r="V8" s="26" t="str">
        <f t="shared" si="10"/>
        <v>Advance to vendor quote / audit scope</v>
      </c>
      <c r="W8" s="3" t="str">
        <f t="shared" si="11"/>
        <v>Estimated value impact assumes annual savings are capitalized at a 5% cap rate</v>
      </c>
      <c r="Z8" s="20"/>
      <c r="AA8" s="20"/>
      <c r="AB8" s="20"/>
      <c r="AC8" s="20"/>
      <c r="AD8" s="20"/>
      <c r="AE8" s="20"/>
      <c r="AF8" s="20"/>
    </row>
    <row r="9" spans="1:33" ht="28.5" customHeight="1">
      <c r="A9" s="15" t="s">
        <v>31</v>
      </c>
      <c r="B9" s="15" t="s">
        <v>32</v>
      </c>
      <c r="C9" s="15" t="s">
        <v>1176</v>
      </c>
      <c r="D9" s="15" t="s">
        <v>1177</v>
      </c>
      <c r="E9" s="45">
        <v>15000</v>
      </c>
      <c r="F9" s="45">
        <v>0</v>
      </c>
      <c r="G9" s="22">
        <f t="shared" si="0"/>
        <v>15000</v>
      </c>
      <c r="H9" s="22">
        <v>0</v>
      </c>
      <c r="I9" s="22">
        <v>0</v>
      </c>
      <c r="J9" s="22">
        <v>0</v>
      </c>
      <c r="K9" s="22">
        <v>5000</v>
      </c>
      <c r="L9" s="22">
        <f t="shared" si="1"/>
        <v>0</v>
      </c>
      <c r="M9" s="22">
        <f t="shared" si="2"/>
        <v>0</v>
      </c>
      <c r="N9" s="22">
        <f t="shared" si="3"/>
        <v>5000</v>
      </c>
      <c r="O9" s="22">
        <f t="shared" si="4"/>
        <v>0</v>
      </c>
      <c r="P9" s="31">
        <f t="shared" si="5"/>
        <v>3</v>
      </c>
      <c r="Q9" s="31" t="str">
        <f t="shared" si="6"/>
        <v>No emissions reduction</v>
      </c>
      <c r="R9" s="22">
        <f t="shared" si="7"/>
        <v>5000</v>
      </c>
      <c r="S9" s="31">
        <f t="shared" si="8"/>
        <v>100000</v>
      </c>
      <c r="T9" s="15" t="s">
        <v>413</v>
      </c>
      <c r="U9" s="22" t="str">
        <f t="shared" si="9"/>
        <v>Medium Priority</v>
      </c>
      <c r="V9" s="26" t="str">
        <f t="shared" si="10"/>
        <v>Include in operating improvement plan</v>
      </c>
      <c r="W9" s="3" t="str">
        <f t="shared" si="11"/>
        <v>Estimated value impact assumes annual savings are capitalized at a 5% cap rate</v>
      </c>
      <c r="Z9" s="20"/>
      <c r="AA9" s="20"/>
      <c r="AB9" s="20"/>
      <c r="AC9" s="20"/>
      <c r="AD9" s="20"/>
      <c r="AE9" s="20"/>
      <c r="AF9" s="20"/>
    </row>
    <row r="10" spans="1:33" ht="71.25">
      <c r="A10" s="15" t="s">
        <v>43</v>
      </c>
      <c r="B10" s="15" t="s">
        <v>44</v>
      </c>
      <c r="C10" s="15" t="s">
        <v>1178</v>
      </c>
      <c r="D10" s="15" t="s">
        <v>1179</v>
      </c>
      <c r="E10" s="15">
        <v>50000</v>
      </c>
      <c r="F10" s="15">
        <v>7500</v>
      </c>
      <c r="G10" s="22">
        <f t="shared" si="0"/>
        <v>42500</v>
      </c>
      <c r="H10" s="22">
        <v>0</v>
      </c>
      <c r="I10" s="22">
        <v>7000</v>
      </c>
      <c r="J10" s="22">
        <v>250000</v>
      </c>
      <c r="K10" s="22">
        <v>0</v>
      </c>
      <c r="L10" s="22">
        <f t="shared" si="1"/>
        <v>7700.0000000000009</v>
      </c>
      <c r="M10" s="22">
        <f t="shared" si="2"/>
        <v>3000</v>
      </c>
      <c r="N10" s="22">
        <f t="shared" si="3"/>
        <v>10700</v>
      </c>
      <c r="O10" s="22">
        <f t="shared" si="4"/>
        <v>37.180150000000005</v>
      </c>
      <c r="P10" s="31">
        <f t="shared" si="5"/>
        <v>3.97196261682243</v>
      </c>
      <c r="Q10" s="31">
        <f t="shared" si="6"/>
        <v>1143.0830698638922</v>
      </c>
      <c r="R10" s="22">
        <f t="shared" si="7"/>
        <v>10700</v>
      </c>
      <c r="S10" s="31">
        <f t="shared" si="8"/>
        <v>214000</v>
      </c>
      <c r="T10" s="15" t="s">
        <v>387</v>
      </c>
      <c r="U10" s="22" t="str">
        <f t="shared" si="9"/>
        <v>High Priority</v>
      </c>
      <c r="V10" s="26" t="str">
        <f t="shared" si="10"/>
        <v>Advance to vendor quote / audit scope</v>
      </c>
      <c r="W10" s="3" t="str">
        <f t="shared" si="11"/>
        <v>Estimated value impact assumes annual savings are capitalized at a 5% cap rate</v>
      </c>
    </row>
    <row r="11" spans="1:33" ht="71.25">
      <c r="A11" s="15" t="s">
        <v>43</v>
      </c>
      <c r="B11" s="15" t="s">
        <v>44</v>
      </c>
      <c r="C11" s="15" t="s">
        <v>1180</v>
      </c>
      <c r="D11" s="15" t="s">
        <v>1181</v>
      </c>
      <c r="E11" s="15">
        <v>85000</v>
      </c>
      <c r="F11" s="15">
        <v>12000</v>
      </c>
      <c r="G11" s="22">
        <f t="shared" si="0"/>
        <v>73000</v>
      </c>
      <c r="H11" s="22">
        <v>0</v>
      </c>
      <c r="I11" s="22">
        <v>8000</v>
      </c>
      <c r="J11" s="22">
        <v>0</v>
      </c>
      <c r="K11" s="22">
        <v>0</v>
      </c>
      <c r="L11" s="22">
        <f t="shared" si="1"/>
        <v>8800</v>
      </c>
      <c r="M11" s="22">
        <f t="shared" si="2"/>
        <v>0</v>
      </c>
      <c r="N11" s="22">
        <f t="shared" si="3"/>
        <v>8800</v>
      </c>
      <c r="O11" s="22">
        <f t="shared" si="4"/>
        <v>42.491599999999998</v>
      </c>
      <c r="P11" s="31">
        <f t="shared" si="5"/>
        <v>8.295454545454545</v>
      </c>
      <c r="Q11" s="31">
        <f t="shared" si="6"/>
        <v>1717.9866138248501</v>
      </c>
      <c r="R11" s="22">
        <f t="shared" si="7"/>
        <v>8800</v>
      </c>
      <c r="S11" s="31">
        <f t="shared" si="8"/>
        <v>176000</v>
      </c>
      <c r="T11" s="15" t="s">
        <v>392</v>
      </c>
      <c r="U11" s="22" t="str">
        <f t="shared" si="9"/>
        <v>Low Priority</v>
      </c>
      <c r="V11" s="26" t="str">
        <f t="shared" si="10"/>
        <v>Monitor or defer</v>
      </c>
      <c r="W11" s="3" t="str">
        <f t="shared" si="11"/>
        <v>Estimated value impact assumes annual savings are capitalized at a 5% cap rate</v>
      </c>
      <c r="Z11" s="51" t="s">
        <v>1185</v>
      </c>
      <c r="AA11" s="51"/>
      <c r="AB11" s="51"/>
      <c r="AC11" s="51"/>
      <c r="AD11" s="51"/>
      <c r="AE11" s="51"/>
      <c r="AF11" s="51"/>
    </row>
    <row r="12" spans="1:33" ht="71.25">
      <c r="A12" s="15" t="s">
        <v>43</v>
      </c>
      <c r="B12" s="15" t="s">
        <v>44</v>
      </c>
      <c r="C12" s="15" t="s">
        <v>1176</v>
      </c>
      <c r="D12" s="15" t="s">
        <v>1177</v>
      </c>
      <c r="E12" s="15">
        <v>15000</v>
      </c>
      <c r="F12" s="15">
        <v>0</v>
      </c>
      <c r="G12" s="22">
        <f t="shared" si="0"/>
        <v>15000</v>
      </c>
      <c r="H12" s="22">
        <v>0</v>
      </c>
      <c r="I12" s="22">
        <v>0</v>
      </c>
      <c r="J12" s="22">
        <v>0</v>
      </c>
      <c r="K12" s="22">
        <v>5000</v>
      </c>
      <c r="L12" s="22">
        <f t="shared" si="1"/>
        <v>0</v>
      </c>
      <c r="M12" s="22">
        <f t="shared" si="2"/>
        <v>0</v>
      </c>
      <c r="N12" s="22">
        <f t="shared" si="3"/>
        <v>5000</v>
      </c>
      <c r="O12" s="22">
        <f t="shared" si="4"/>
        <v>0</v>
      </c>
      <c r="P12" s="31">
        <f t="shared" si="5"/>
        <v>3</v>
      </c>
      <c r="Q12" s="31" t="str">
        <f t="shared" si="6"/>
        <v>No emissions reduction</v>
      </c>
      <c r="R12" s="22">
        <f t="shared" si="7"/>
        <v>5000</v>
      </c>
      <c r="S12" s="31">
        <f t="shared" si="8"/>
        <v>100000</v>
      </c>
      <c r="T12" s="15" t="s">
        <v>413</v>
      </c>
      <c r="U12" s="22" t="str">
        <f t="shared" si="9"/>
        <v>Medium Priority</v>
      </c>
      <c r="V12" s="26" t="str">
        <f t="shared" si="10"/>
        <v>Include in operating improvement plan</v>
      </c>
      <c r="W12" s="3" t="str">
        <f t="shared" si="11"/>
        <v>Estimated value impact assumes annual savings are capitalized at a 5% cap rate</v>
      </c>
      <c r="Z12" s="51"/>
      <c r="AA12" s="51"/>
      <c r="AB12" s="51"/>
      <c r="AC12" s="51"/>
      <c r="AD12" s="51"/>
      <c r="AE12" s="51"/>
      <c r="AF12" s="51"/>
    </row>
    <row r="13" spans="1:33" ht="28.5">
      <c r="A13" s="15" t="s">
        <v>24</v>
      </c>
      <c r="B13" s="15" t="s">
        <v>25</v>
      </c>
      <c r="C13" s="15" t="s">
        <v>1170</v>
      </c>
      <c r="D13" s="15" t="s">
        <v>1171</v>
      </c>
      <c r="E13" s="15">
        <v>12000</v>
      </c>
      <c r="F13" s="15">
        <v>0</v>
      </c>
      <c r="G13" s="22">
        <f t="shared" si="0"/>
        <v>12000</v>
      </c>
      <c r="L13" s="22">
        <f t="shared" si="1"/>
        <v>0</v>
      </c>
      <c r="M13" s="22">
        <f t="shared" si="2"/>
        <v>0</v>
      </c>
      <c r="N13" s="22">
        <f t="shared" si="3"/>
        <v>0</v>
      </c>
      <c r="O13" s="22">
        <f t="shared" si="4"/>
        <v>0</v>
      </c>
      <c r="P13" s="31" t="str">
        <f t="shared" si="5"/>
        <v>No savings</v>
      </c>
      <c r="Q13" s="31" t="str">
        <f t="shared" si="6"/>
        <v>No emissions reduction</v>
      </c>
      <c r="R13" s="22">
        <f t="shared" si="7"/>
        <v>0</v>
      </c>
      <c r="S13" s="31">
        <f t="shared" si="8"/>
        <v>0</v>
      </c>
      <c r="T13" s="15" t="s">
        <v>413</v>
      </c>
      <c r="U13" s="22" t="str">
        <f t="shared" si="9"/>
        <v>Enabling Step</v>
      </c>
      <c r="V13" s="26" t="str">
        <f t="shared" si="10"/>
        <v>Complete before final capex decision</v>
      </c>
      <c r="W13" s="3" t="str">
        <f t="shared" si="11"/>
        <v>No direct value impact estimated</v>
      </c>
      <c r="Z13" s="51"/>
      <c r="AA13" s="51"/>
      <c r="AB13" s="51"/>
      <c r="AC13" s="51"/>
      <c r="AD13" s="51"/>
      <c r="AE13" s="51"/>
      <c r="AF13" s="51"/>
    </row>
    <row r="14" spans="1:33" ht="71.25">
      <c r="A14" s="15" t="s">
        <v>24</v>
      </c>
      <c r="B14" s="15" t="s">
        <v>25</v>
      </c>
      <c r="C14" s="15" t="s">
        <v>1176</v>
      </c>
      <c r="D14" s="15" t="s">
        <v>1177</v>
      </c>
      <c r="E14" s="45">
        <v>15000</v>
      </c>
      <c r="F14" s="45">
        <v>0</v>
      </c>
      <c r="G14" s="22">
        <f t="shared" si="0"/>
        <v>15000</v>
      </c>
      <c r="H14" s="22">
        <v>0</v>
      </c>
      <c r="I14" s="22">
        <v>0</v>
      </c>
      <c r="J14" s="22">
        <v>0</v>
      </c>
      <c r="K14" s="22">
        <v>5000</v>
      </c>
      <c r="L14" s="22">
        <f t="shared" si="1"/>
        <v>0</v>
      </c>
      <c r="M14" s="22">
        <f t="shared" si="2"/>
        <v>0</v>
      </c>
      <c r="N14" s="22">
        <f t="shared" si="3"/>
        <v>5000</v>
      </c>
      <c r="O14" s="22">
        <f t="shared" si="4"/>
        <v>0</v>
      </c>
      <c r="P14" s="31">
        <f t="shared" si="5"/>
        <v>3</v>
      </c>
      <c r="Q14" s="31" t="str">
        <f t="shared" si="6"/>
        <v>No emissions reduction</v>
      </c>
      <c r="R14" s="22">
        <f t="shared" si="7"/>
        <v>5000</v>
      </c>
      <c r="S14" s="31">
        <f t="shared" si="8"/>
        <v>100000</v>
      </c>
      <c r="T14" s="15" t="s">
        <v>413</v>
      </c>
      <c r="U14" s="22" t="str">
        <f t="shared" si="9"/>
        <v>Medium Priority</v>
      </c>
      <c r="V14" s="26" t="str">
        <f t="shared" si="10"/>
        <v>Include in operating improvement plan</v>
      </c>
      <c r="W14" s="3" t="str">
        <f t="shared" si="11"/>
        <v>Estimated value impact assumes annual savings are capitalized at a 5% cap rate</v>
      </c>
    </row>
    <row r="15" spans="1:33">
      <c r="C15" s="15"/>
      <c r="D15" s="15"/>
      <c r="E15" s="15"/>
      <c r="F15" s="15"/>
    </row>
    <row r="16" spans="1:33">
      <c r="C16" s="15"/>
      <c r="D16" s="15"/>
      <c r="E16" s="15"/>
      <c r="F16" s="15"/>
    </row>
    <row r="17" spans="3:11">
      <c r="C17" s="15"/>
      <c r="D17" s="15"/>
      <c r="E17" s="15"/>
      <c r="F17" s="15"/>
    </row>
    <row r="18" spans="3:11">
      <c r="C18" s="15"/>
      <c r="D18" s="15"/>
      <c r="E18" s="15"/>
      <c r="F18" s="15"/>
    </row>
    <row r="19" spans="3:11" ht="15">
      <c r="C19" s="15"/>
      <c r="D19" s="15"/>
      <c r="E19" s="15"/>
      <c r="F19" s="15"/>
      <c r="G19" s="34"/>
      <c r="H19" s="46"/>
      <c r="I19" s="46"/>
      <c r="J19" s="46"/>
      <c r="K19" s="46"/>
    </row>
    <row r="20" spans="3:11">
      <c r="C20" s="15"/>
      <c r="D20" s="15"/>
      <c r="E20" s="15"/>
      <c r="F20" s="15"/>
      <c r="G20" s="15"/>
      <c r="H20" s="45"/>
      <c r="I20" s="45"/>
      <c r="J20" s="45"/>
      <c r="K20" s="45"/>
    </row>
    <row r="21" spans="3:11">
      <c r="C21" s="15"/>
      <c r="D21" s="15"/>
      <c r="E21" s="15"/>
      <c r="F21" s="15"/>
      <c r="G21" s="15"/>
      <c r="H21" s="45"/>
      <c r="I21" s="45"/>
      <c r="J21" s="45"/>
      <c r="K21" s="45"/>
    </row>
    <row r="22" spans="3:11" ht="15">
      <c r="C22" s="34"/>
      <c r="D22" s="46"/>
      <c r="E22" s="46"/>
      <c r="F22" s="15"/>
      <c r="G22" s="15"/>
      <c r="H22" s="45"/>
      <c r="I22" s="45"/>
      <c r="J22" s="45"/>
      <c r="K22" s="45"/>
    </row>
    <row r="23" spans="3:11">
      <c r="C23" s="15"/>
      <c r="D23" s="45"/>
      <c r="E23" s="45"/>
      <c r="G23" s="15"/>
      <c r="H23" s="45"/>
      <c r="I23" s="45"/>
      <c r="J23" s="45"/>
      <c r="K23" s="45"/>
    </row>
    <row r="24" spans="3:11">
      <c r="C24" s="15"/>
      <c r="D24" s="45"/>
      <c r="E24" s="45"/>
      <c r="G24" s="15"/>
      <c r="H24" s="45"/>
      <c r="I24" s="45"/>
      <c r="J24" s="45"/>
      <c r="K24" s="45"/>
    </row>
    <row r="25" spans="3:11">
      <c r="C25" s="15"/>
      <c r="D25" s="45"/>
      <c r="E25" s="45"/>
      <c r="G25" s="15"/>
      <c r="H25" s="45"/>
      <c r="I25" s="45"/>
      <c r="J25" s="45"/>
      <c r="K25" s="45"/>
    </row>
    <row r="26" spans="3:11">
      <c r="C26" s="15"/>
      <c r="D26" s="45"/>
      <c r="E26" s="45"/>
      <c r="G26" s="15"/>
      <c r="H26" s="45"/>
      <c r="I26" s="45"/>
      <c r="J26" s="45"/>
      <c r="K26" s="45"/>
    </row>
    <row r="27" spans="3:11">
      <c r="C27" s="15"/>
      <c r="D27" s="45"/>
      <c r="E27" s="45"/>
      <c r="G27" s="15"/>
      <c r="H27" s="45"/>
      <c r="I27" s="45"/>
      <c r="J27" s="45"/>
      <c r="K27" s="45"/>
    </row>
    <row r="28" spans="3:11">
      <c r="C28" s="15"/>
    </row>
    <row r="29" spans="3:11">
      <c r="C29" s="15"/>
      <c r="D29" s="45"/>
      <c r="E29" s="45"/>
    </row>
    <row r="30" spans="3:11">
      <c r="C30" s="15"/>
      <c r="D30" s="45"/>
      <c r="E30" s="45"/>
    </row>
  </sheetData>
  <mergeCells count="2">
    <mergeCell ref="Z11:AF13"/>
    <mergeCell ref="Z2:AG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FEB1F-D2C6-4D28-B7C0-27C5DD92E6FD}">
  <dimension ref="A1:U24"/>
  <sheetViews>
    <sheetView topLeftCell="F1" workbookViewId="0">
      <selection activeCell="U8" sqref="U8"/>
    </sheetView>
  </sheetViews>
  <sheetFormatPr defaultRowHeight="14.25"/>
  <cols>
    <col min="1" max="1" width="16.625" style="18" customWidth="1"/>
    <col min="2" max="2" width="11.5" customWidth="1"/>
    <col min="3" max="3" width="14.75" customWidth="1"/>
    <col min="4" max="4" width="18.875" customWidth="1"/>
    <col min="5" max="5" width="15.375" customWidth="1"/>
    <col min="6" max="7" width="11.5" customWidth="1"/>
    <col min="8" max="8" width="15" customWidth="1"/>
    <col min="9" max="9" width="14.25" customWidth="1"/>
    <col min="10" max="10" width="11.5" customWidth="1"/>
    <col min="11" max="11" width="14.125" customWidth="1"/>
    <col min="12" max="14" width="11.5" customWidth="1"/>
  </cols>
  <sheetData>
    <row r="1" spans="1:21" ht="45">
      <c r="A1" s="48" t="s">
        <v>1186</v>
      </c>
      <c r="B1" s="47" t="s">
        <v>0</v>
      </c>
      <c r="C1" s="47" t="s">
        <v>1</v>
      </c>
      <c r="D1" s="47" t="s">
        <v>1155</v>
      </c>
      <c r="E1" s="47" t="s">
        <v>1156</v>
      </c>
      <c r="F1" s="47" t="s">
        <v>1158</v>
      </c>
      <c r="G1" s="47" t="s">
        <v>1163</v>
      </c>
      <c r="H1" s="47" t="s">
        <v>1165</v>
      </c>
      <c r="I1" s="47" t="s">
        <v>1164</v>
      </c>
      <c r="J1" s="47" t="s">
        <v>1166</v>
      </c>
      <c r="K1" s="47" t="s">
        <v>1168</v>
      </c>
      <c r="L1" s="47" t="s">
        <v>469</v>
      </c>
      <c r="M1" s="47" t="s">
        <v>1169</v>
      </c>
      <c r="N1" s="47" t="s">
        <v>1183</v>
      </c>
    </row>
    <row r="2" spans="1:21" ht="42.75">
      <c r="A2" s="33">
        <v>1</v>
      </c>
      <c r="B2" s="15" t="s">
        <v>17</v>
      </c>
      <c r="C2" s="31" t="str">
        <f>_xlfn.XLOOKUP(B2,'01_input_asset_master'!A$2:A$11,'01_input_asset_master'!B$2:B$11)</f>
        <v>Lakeview Terrace</v>
      </c>
      <c r="D2" s="15" t="s">
        <v>1174</v>
      </c>
      <c r="E2" s="20" t="str">
        <f>IF(D2="Energy audit","Energy + carbon",IF(D2="Boiler/heating review","Natural gas + Scope 1 carbon",IF(D2="Electricity efficiency","Electricity + Scope 2 carbon",IF(D2="Waste diversion program","Waste + diversion",IF(D2="Domestic hot water efficiency","Gas + water + cost",IF(D2="Envelope air sealing","Heating load","Other"))))))</f>
        <v>Electricity + Scope 2 carbon</v>
      </c>
      <c r="F2" cm="1">
        <f t="array" ref="F2">_xlfn.XLOOKUP($B2&amp;"|"&amp;$D2,'16_calc_retrofit_finance'!$A$2:$A$14&amp;"|"&amp;'16_calc_retrofit_finance'!$C$2:$C$14,'16_calc_retrofit_finance'!$G$2:$G$14,"Not found")</f>
        <v>55000</v>
      </c>
      <c r="G2" cm="1">
        <f t="array" ref="G2">_xlfn.XLOOKUP($B2&amp;"|"&amp;$D2,'16_calc_retrofit_finance'!$A$2:$A$14&amp;"|"&amp;'16_calc_retrofit_finance'!$C$2:$C$14,'16_calc_retrofit_finance'!$N$2:$N$14,"Not found")</f>
        <v>26100</v>
      </c>
      <c r="H2" cm="1">
        <f t="array" ref="H2">_xlfn.XLOOKUP($B2&amp;"|"&amp;$D2,'16_calc_retrofit_finance'!$A$2:$A$14&amp;"|"&amp;'16_calc_retrofit_finance'!$C$2:$C$14,'16_calc_retrofit_finance'!$P$2:$P$14,"Not found")</f>
        <v>2.1072796934865901</v>
      </c>
      <c r="I2" cm="1">
        <f t="array" ref="I2">_xlfn.XLOOKUP($B2&amp;"|"&amp;$D2,'16_calc_retrofit_finance'!$A$2:$A$14&amp;"|"&amp;'16_calc_retrofit_finance'!$C$2:$C$14,'16_calc_retrofit_finance'!$O$2:$O$14,"Not found")</f>
        <v>95.000219999999999</v>
      </c>
      <c r="J2" s="15" cm="1">
        <f t="array" ref="J2">_xlfn.XLOOKUP($B2&amp;"|"&amp;$D2,'16_calc_retrofit_finance'!$A$2:$A$14&amp;"|"&amp;'16_calc_retrofit_finance'!$C$2:$C$14,'16_calc_retrofit_finance'!$Q$2:$Q$14,"Not found")</f>
        <v>578.9460277039359</v>
      </c>
      <c r="K2" s="18" cm="1">
        <f t="array" ref="K2">_xlfn.XLOOKUP($B2&amp;"|"&amp;$D2,'16_calc_retrofit_finance'!$A$2:$A$14&amp;"|"&amp;'16_calc_retrofit_finance'!$C$2:$C$14,'16_calc_retrofit_finance'!$S$2:$S$14,"Not found")</f>
        <v>522000</v>
      </c>
      <c r="L2" t="str" cm="1">
        <f t="array" ref="L2">_xlfn.XLOOKUP($B2&amp;"|"&amp;$D2,'16_calc_retrofit_finance'!$A$2:$A$14&amp;"|"&amp;'16_calc_retrofit_finance'!$C$2:$C$14,'16_calc_retrofit_finance'!$T$2:$T$14,"Not found")</f>
        <v>Medium</v>
      </c>
      <c r="M2" s="15" t="str" cm="1">
        <f t="array" ref="M2">_xlfn.XLOOKUP($B2&amp;"|"&amp;$D2,'16_calc_retrofit_finance'!$A$2:$A$14&amp;"|"&amp;'16_calc_retrofit_finance'!$C$2:$C$14,'16_calc_retrofit_finance'!$U$2:$U$14,"Not found")</f>
        <v>High Priority</v>
      </c>
      <c r="N2" s="20" t="str">
        <f>IF(M2="High Priority","Advance to vendor quote / audit scope",IF(M2="Medium Priority","Include in operating improvement plan",IF(M2="Enabling Step","Complete before final capex decision","Monitor or defer")))</f>
        <v>Advance to vendor quote / audit scope</v>
      </c>
      <c r="P2" s="53" t="s">
        <v>1187</v>
      </c>
      <c r="Q2" s="53"/>
      <c r="R2" s="53"/>
      <c r="S2" s="53"/>
      <c r="T2" s="53"/>
      <c r="U2" s="53"/>
    </row>
    <row r="3" spans="1:21" ht="42.75">
      <c r="A3" s="33">
        <v>1</v>
      </c>
      <c r="B3" s="15" t="s">
        <v>31</v>
      </c>
      <c r="C3" s="31" t="str">
        <f>_xlfn.XLOOKUP(B3,'01_input_asset_master'!A$2:A$11,'01_input_asset_master'!B$2:B$11)</f>
        <v>South Park Apartments</v>
      </c>
      <c r="D3" s="15" t="s">
        <v>1174</v>
      </c>
      <c r="E3" s="20" t="str">
        <f t="shared" ref="E3:E10" si="0">IF(D3="Energy audit","Energy + carbon",IF(D3="Boiler/heating review","Natural gas + Scope 1 carbon",IF(D3="Electricity efficiency","Electricity + Scope 2 carbon",IF(D3="Waste diversion program","Waste + diversion",IF(D3="Domestic hot water efficiency","Gas + water + cost",IF(D3="Envelope air sealing","Heating load","Other"))))))</f>
        <v>Electricity + Scope 2 carbon</v>
      </c>
      <c r="F3" cm="1">
        <f t="array" ref="F3">_xlfn.XLOOKUP($B3&amp;"|"&amp;$D3,'16_calc_retrofit_finance'!$A$2:$A$14&amp;"|"&amp;'16_calc_retrofit_finance'!$C$2:$C$14,'16_calc_retrofit_finance'!$G$2:$G$14,"Not found")</f>
        <v>55000</v>
      </c>
      <c r="G3" cm="1">
        <f t="array" ref="G3">_xlfn.XLOOKUP($B3&amp;"|"&amp;$D3,'16_calc_retrofit_finance'!$A$2:$A$14&amp;"|"&amp;'16_calc_retrofit_finance'!$C$2:$C$14,'16_calc_retrofit_finance'!$N$2:$N$14,"Not found")</f>
        <v>26100</v>
      </c>
      <c r="H3" cm="1">
        <f t="array" ref="H3">_xlfn.XLOOKUP($B3&amp;"|"&amp;$D3,'16_calc_retrofit_finance'!$A$2:$A$14&amp;"|"&amp;'16_calc_retrofit_finance'!$C$2:$C$14,'16_calc_retrofit_finance'!$P$2:$P$14,"Not found")</f>
        <v>2.1072796934865901</v>
      </c>
      <c r="I3" cm="1">
        <f t="array" ref="I3">_xlfn.XLOOKUP($B3&amp;"|"&amp;$D3,'16_calc_retrofit_finance'!$A$2:$A$14&amp;"|"&amp;'16_calc_retrofit_finance'!$C$2:$C$14,'16_calc_retrofit_finance'!$O$2:$O$14,"Not found")</f>
        <v>95.000219999999999</v>
      </c>
      <c r="J3" s="15" cm="1">
        <f t="array" ref="J3">_xlfn.XLOOKUP($B3&amp;"|"&amp;$D3,'16_calc_retrofit_finance'!$A$2:$A$14&amp;"|"&amp;'16_calc_retrofit_finance'!$C$2:$C$14,'16_calc_retrofit_finance'!$Q$2:$Q$14,"Not found")</f>
        <v>578.9460277039359</v>
      </c>
      <c r="K3" s="18" cm="1">
        <f t="array" ref="K3">_xlfn.XLOOKUP($B3&amp;"|"&amp;$D3,'16_calc_retrofit_finance'!$A$2:$A$14&amp;"|"&amp;'16_calc_retrofit_finance'!$C$2:$C$14,'16_calc_retrofit_finance'!$S$2:$S$14,"Not found")</f>
        <v>522000</v>
      </c>
      <c r="L3" t="str" cm="1">
        <f t="array" ref="L3">_xlfn.XLOOKUP($B3&amp;"|"&amp;$D3,'16_calc_retrofit_finance'!$A$2:$A$14&amp;"|"&amp;'16_calc_retrofit_finance'!$C$2:$C$14,'16_calc_retrofit_finance'!$T$2:$T$14,"Not found")</f>
        <v>Medium</v>
      </c>
      <c r="M3" s="15" t="str" cm="1">
        <f t="array" ref="M3">_xlfn.XLOOKUP($B3&amp;"|"&amp;$D3,'16_calc_retrofit_finance'!$A$2:$A$14&amp;"|"&amp;'16_calc_retrofit_finance'!$C$2:$C$14,'16_calc_retrofit_finance'!$U$2:$U$14,"Not found")</f>
        <v>High Priority</v>
      </c>
      <c r="N3" s="20" t="str">
        <f t="shared" ref="N3:N10" si="1">IF(M3="High Priority","Advance to vendor quote / audit scope",IF(M3="Medium Priority","Include in operating improvement plan",IF(M3="Enabling Step","Complete before final capex decision","Monitor or defer")))</f>
        <v>Advance to vendor quote / audit scope</v>
      </c>
      <c r="P3" s="53"/>
      <c r="Q3" s="53"/>
      <c r="R3" s="53"/>
      <c r="S3" s="53"/>
      <c r="T3" s="53"/>
      <c r="U3" s="53"/>
    </row>
    <row r="4" spans="1:21" ht="42.75">
      <c r="A4" s="33">
        <v>3</v>
      </c>
      <c r="B4" s="15" t="s">
        <v>17</v>
      </c>
      <c r="C4" s="31" t="str">
        <f>_xlfn.XLOOKUP(B4,'01_input_asset_master'!A$2:A$11,'01_input_asset_master'!B$2:B$11)</f>
        <v>Lakeview Terrace</v>
      </c>
      <c r="D4" s="15" t="s">
        <v>1172</v>
      </c>
      <c r="E4" s="20" t="str">
        <f t="shared" si="0"/>
        <v>Natural gas + Scope 1 carbon</v>
      </c>
      <c r="F4" cm="1">
        <f t="array" ref="F4">_xlfn.XLOOKUP($B4&amp;"|"&amp;$D4,'16_calc_retrofit_finance'!$A$2:$A$14&amp;"|"&amp;'16_calc_retrofit_finance'!$C$2:$C$14,'16_calc_retrofit_finance'!$G$2:$G$14,"Not found")</f>
        <v>37000</v>
      </c>
      <c r="G4" cm="1">
        <f t="array" ref="G4">_xlfn.XLOOKUP($B4&amp;"|"&amp;$D4,'16_calc_retrofit_finance'!$A$2:$A$14&amp;"|"&amp;'16_calc_retrofit_finance'!$C$2:$C$14,'16_calc_retrofit_finance'!$N$2:$N$14,"Not found")</f>
        <v>9900</v>
      </c>
      <c r="H4" cm="1">
        <f t="array" ref="H4">_xlfn.XLOOKUP($B4&amp;"|"&amp;$D4,'16_calc_retrofit_finance'!$A$2:$A$14&amp;"|"&amp;'16_calc_retrofit_finance'!$C$2:$C$14,'16_calc_retrofit_finance'!$P$2:$P$14,"Not found")</f>
        <v>3.7373737373737375</v>
      </c>
      <c r="I4" cm="1">
        <f t="array" ref="I4">_xlfn.XLOOKUP($B4&amp;"|"&amp;$D4,'16_calc_retrofit_finance'!$A$2:$A$14&amp;"|"&amp;'16_calc_retrofit_finance'!$C$2:$C$14,'16_calc_retrofit_finance'!$O$2:$O$14,"Not found")</f>
        <v>47.803049999999999</v>
      </c>
      <c r="J4" s="15" cm="1">
        <f t="array" ref="J4">_xlfn.XLOOKUP($B4&amp;"|"&amp;$D4,'16_calc_retrofit_finance'!$A$2:$A$14&amp;"|"&amp;'16_calc_retrofit_finance'!$C$2:$C$14,'16_calc_retrofit_finance'!$Q$2:$Q$14,"Not found")</f>
        <v>774.00918979019127</v>
      </c>
      <c r="K4" s="18" cm="1">
        <f t="array" ref="K4">_xlfn.XLOOKUP($B4&amp;"|"&amp;$D4,'16_calc_retrofit_finance'!$A$2:$A$14&amp;"|"&amp;'16_calc_retrofit_finance'!$C$2:$C$14,'16_calc_retrofit_finance'!$S$2:$S$14,"Not found")</f>
        <v>198000</v>
      </c>
      <c r="L4" t="str" cm="1">
        <f t="array" ref="L4">_xlfn.XLOOKUP($B4&amp;"|"&amp;$D4,'16_calc_retrofit_finance'!$A$2:$A$14&amp;"|"&amp;'16_calc_retrofit_finance'!$C$2:$C$14,'16_calc_retrofit_finance'!$T$2:$T$14,"Not found")</f>
        <v>Medium</v>
      </c>
      <c r="M4" s="15" t="str" cm="1">
        <f t="array" ref="M4">_xlfn.XLOOKUP($B4&amp;"|"&amp;$D4,'16_calc_retrofit_finance'!$A$2:$A$14&amp;"|"&amp;'16_calc_retrofit_finance'!$C$2:$C$14,'16_calc_retrofit_finance'!$U$2:$U$14,"Not found")</f>
        <v>High Priority</v>
      </c>
      <c r="N4" s="20" t="str">
        <f t="shared" si="1"/>
        <v>Advance to vendor quote / audit scope</v>
      </c>
      <c r="P4" s="53"/>
      <c r="Q4" s="53"/>
      <c r="R4" s="53"/>
      <c r="S4" s="53"/>
      <c r="T4" s="53"/>
      <c r="U4" s="53"/>
    </row>
    <row r="5" spans="1:21" ht="42.75">
      <c r="A5" s="33">
        <v>3</v>
      </c>
      <c r="B5" s="15" t="s">
        <v>31</v>
      </c>
      <c r="C5" s="31" t="str">
        <f>_xlfn.XLOOKUP(B5,'01_input_asset_master'!A$2:A$11,'01_input_asset_master'!B$2:B$11)</f>
        <v>South Park Apartments</v>
      </c>
      <c r="D5" s="15" t="s">
        <v>1172</v>
      </c>
      <c r="E5" s="20" t="str">
        <f t="shared" si="0"/>
        <v>Natural gas + Scope 1 carbon</v>
      </c>
      <c r="F5" cm="1">
        <f t="array" ref="F5">_xlfn.XLOOKUP($B5&amp;"|"&amp;$D5,'16_calc_retrofit_finance'!$A$2:$A$14&amp;"|"&amp;'16_calc_retrofit_finance'!$C$2:$C$14,'16_calc_retrofit_finance'!$G$2:$G$14,"Not found")</f>
        <v>37000</v>
      </c>
      <c r="G5" cm="1">
        <f t="array" ref="G5">_xlfn.XLOOKUP($B5&amp;"|"&amp;$D5,'16_calc_retrofit_finance'!$A$2:$A$14&amp;"|"&amp;'16_calc_retrofit_finance'!$C$2:$C$14,'16_calc_retrofit_finance'!$N$2:$N$14,"Not found")</f>
        <v>9900</v>
      </c>
      <c r="H5" cm="1">
        <f t="array" ref="H5">_xlfn.XLOOKUP($B5&amp;"|"&amp;$D5,'16_calc_retrofit_finance'!$A$2:$A$14&amp;"|"&amp;'16_calc_retrofit_finance'!$C$2:$C$14,'16_calc_retrofit_finance'!$P$2:$P$14,"Not found")</f>
        <v>3.7373737373737375</v>
      </c>
      <c r="I5" cm="1">
        <f t="array" ref="I5">_xlfn.XLOOKUP($B5&amp;"|"&amp;$D5,'16_calc_retrofit_finance'!$A$2:$A$14&amp;"|"&amp;'16_calc_retrofit_finance'!$C$2:$C$14,'16_calc_retrofit_finance'!$O$2:$O$14,"Not found")</f>
        <v>47.803049999999999</v>
      </c>
      <c r="J5" s="15" cm="1">
        <f t="array" ref="J5">_xlfn.XLOOKUP($B5&amp;"|"&amp;$D5,'16_calc_retrofit_finance'!$A$2:$A$14&amp;"|"&amp;'16_calc_retrofit_finance'!$C$2:$C$14,'16_calc_retrofit_finance'!$Q$2:$Q$14,"Not found")</f>
        <v>774.00918979019127</v>
      </c>
      <c r="K5" s="18" cm="1">
        <f t="array" ref="K5">_xlfn.XLOOKUP($B5&amp;"|"&amp;$D5,'16_calc_retrofit_finance'!$A$2:$A$14&amp;"|"&amp;'16_calc_retrofit_finance'!$C$2:$C$14,'16_calc_retrofit_finance'!$S$2:$S$14,"Not found")</f>
        <v>198000</v>
      </c>
      <c r="L5" t="str" cm="1">
        <f t="array" ref="L5">_xlfn.XLOOKUP($B5&amp;"|"&amp;$D5,'16_calc_retrofit_finance'!$A$2:$A$14&amp;"|"&amp;'16_calc_retrofit_finance'!$C$2:$C$14,'16_calc_retrofit_finance'!$T$2:$T$14,"Not found")</f>
        <v>Medium</v>
      </c>
      <c r="M5" s="15" t="str" cm="1">
        <f t="array" ref="M5">_xlfn.XLOOKUP($B5&amp;"|"&amp;$D5,'16_calc_retrofit_finance'!$A$2:$A$14&amp;"|"&amp;'16_calc_retrofit_finance'!$C$2:$C$14,'16_calc_retrofit_finance'!$U$2:$U$14,"Not found")</f>
        <v>High Priority</v>
      </c>
      <c r="N5" s="20" t="str">
        <f t="shared" si="1"/>
        <v>Advance to vendor quote / audit scope</v>
      </c>
      <c r="P5" s="53"/>
      <c r="Q5" s="53"/>
      <c r="R5" s="53"/>
      <c r="S5" s="53"/>
      <c r="T5" s="53"/>
      <c r="U5" s="53"/>
    </row>
    <row r="6" spans="1:21" ht="42.75">
      <c r="A6" s="33">
        <v>5</v>
      </c>
      <c r="B6" s="15" t="s">
        <v>43</v>
      </c>
      <c r="C6" s="31" t="str">
        <f>_xlfn.XLOOKUP(B6,'01_input_asset_master'!A$2:A$11,'01_input_asset_master'!B$2:B$11)</f>
        <v>Harbor Point Apartments</v>
      </c>
      <c r="D6" s="15" t="s">
        <v>1178</v>
      </c>
      <c r="E6" s="20" t="str">
        <f t="shared" si="0"/>
        <v>Gas + water + cost</v>
      </c>
      <c r="F6" cm="1">
        <f t="array" ref="F6">_xlfn.XLOOKUP($B6&amp;"|"&amp;$D6,'16_calc_retrofit_finance'!$A$2:$A$14&amp;"|"&amp;'16_calc_retrofit_finance'!$C$2:$C$14,'16_calc_retrofit_finance'!$G$2:$G$14,"Not found")</f>
        <v>42500</v>
      </c>
      <c r="G6" cm="1">
        <f t="array" ref="G6">_xlfn.XLOOKUP($B6&amp;"|"&amp;$D6,'16_calc_retrofit_finance'!$A$2:$A$14&amp;"|"&amp;'16_calc_retrofit_finance'!$C$2:$C$14,'16_calc_retrofit_finance'!$N$2:$N$14,"Not found")</f>
        <v>10700</v>
      </c>
      <c r="H6" cm="1">
        <f t="array" ref="H6">_xlfn.XLOOKUP($B6&amp;"|"&amp;$D6,'16_calc_retrofit_finance'!$A$2:$A$14&amp;"|"&amp;'16_calc_retrofit_finance'!$C$2:$C$14,'16_calc_retrofit_finance'!$P$2:$P$14,"Not found")</f>
        <v>3.97196261682243</v>
      </c>
      <c r="I6" cm="1">
        <f t="array" ref="I6">_xlfn.XLOOKUP($B6&amp;"|"&amp;$D6,'16_calc_retrofit_finance'!$A$2:$A$14&amp;"|"&amp;'16_calc_retrofit_finance'!$C$2:$C$14,'16_calc_retrofit_finance'!$O$2:$O$14,"Not found")</f>
        <v>37.180150000000005</v>
      </c>
      <c r="J6" s="15" cm="1">
        <f t="array" ref="J6">_xlfn.XLOOKUP($B6&amp;"|"&amp;$D6,'16_calc_retrofit_finance'!$A$2:$A$14&amp;"|"&amp;'16_calc_retrofit_finance'!$C$2:$C$14,'16_calc_retrofit_finance'!$Q$2:$Q$14,"Not found")</f>
        <v>1143.0830698638922</v>
      </c>
      <c r="K6" s="18" cm="1">
        <f t="array" ref="K6">_xlfn.XLOOKUP($B6&amp;"|"&amp;$D6,'16_calc_retrofit_finance'!$A$2:$A$14&amp;"|"&amp;'16_calc_retrofit_finance'!$C$2:$C$14,'16_calc_retrofit_finance'!$S$2:$S$14,"Not found")</f>
        <v>214000</v>
      </c>
      <c r="L6" t="str" cm="1">
        <f t="array" ref="L6">_xlfn.XLOOKUP($B6&amp;"|"&amp;$D6,'16_calc_retrofit_finance'!$A$2:$A$14&amp;"|"&amp;'16_calc_retrofit_finance'!$C$2:$C$14,'16_calc_retrofit_finance'!$T$2:$T$14,"Not found")</f>
        <v>Medium</v>
      </c>
      <c r="M6" s="15" t="str" cm="1">
        <f t="array" ref="M6">_xlfn.XLOOKUP($B6&amp;"|"&amp;$D6,'16_calc_retrofit_finance'!$A$2:$A$14&amp;"|"&amp;'16_calc_retrofit_finance'!$C$2:$C$14,'16_calc_retrofit_finance'!$U$2:$U$14,"Not found")</f>
        <v>High Priority</v>
      </c>
      <c r="N6" s="20" t="str">
        <f t="shared" si="1"/>
        <v>Advance to vendor quote / audit scope</v>
      </c>
    </row>
    <row r="7" spans="1:21" ht="57">
      <c r="A7" s="33">
        <v>6</v>
      </c>
      <c r="B7" s="15" t="s">
        <v>17</v>
      </c>
      <c r="C7" s="31" t="str">
        <f>_xlfn.XLOOKUP(B7,'01_input_asset_master'!A$2:A$11,'01_input_asset_master'!B$2:B$11)</f>
        <v>Lakeview Terrace</v>
      </c>
      <c r="D7" s="15" t="s">
        <v>1176</v>
      </c>
      <c r="E7" s="20" t="str">
        <f t="shared" si="0"/>
        <v>Waste + diversion</v>
      </c>
      <c r="F7" cm="1">
        <f t="array" ref="F7">_xlfn.XLOOKUP($B7&amp;"|"&amp;$D7,'16_calc_retrofit_finance'!$A$2:$A$14&amp;"|"&amp;'16_calc_retrofit_finance'!$C$2:$C$14,'16_calc_retrofit_finance'!$G$2:$G$14,"Not found")</f>
        <v>15000</v>
      </c>
      <c r="G7" cm="1">
        <f t="array" ref="G7">_xlfn.XLOOKUP($B7&amp;"|"&amp;$D7,'16_calc_retrofit_finance'!$A$2:$A$14&amp;"|"&amp;'16_calc_retrofit_finance'!$C$2:$C$14,'16_calc_retrofit_finance'!$N$2:$N$14,"Not found")</f>
        <v>5000</v>
      </c>
      <c r="H7" cm="1">
        <f t="array" ref="H7">_xlfn.XLOOKUP($B7&amp;"|"&amp;$D7,'16_calc_retrofit_finance'!$A$2:$A$14&amp;"|"&amp;'16_calc_retrofit_finance'!$C$2:$C$14,'16_calc_retrofit_finance'!$P$2:$P$14,"Not found")</f>
        <v>3</v>
      </c>
      <c r="I7" cm="1">
        <f t="array" ref="I7">_xlfn.XLOOKUP($B7&amp;"|"&amp;$D7,'16_calc_retrofit_finance'!$A$2:$A$14&amp;"|"&amp;'16_calc_retrofit_finance'!$C$2:$C$14,'16_calc_retrofit_finance'!$O$2:$O$14,"Not found")</f>
        <v>0</v>
      </c>
      <c r="J7" s="15" t="str" cm="1">
        <f t="array" ref="J7">_xlfn.XLOOKUP($B7&amp;"|"&amp;$D7,'16_calc_retrofit_finance'!$A$2:$A$14&amp;"|"&amp;'16_calc_retrofit_finance'!$C$2:$C$14,'16_calc_retrofit_finance'!$Q$2:$Q$14,"Not found")</f>
        <v>No emissions reduction</v>
      </c>
      <c r="K7" s="18" cm="1">
        <f t="array" ref="K7">_xlfn.XLOOKUP($B7&amp;"|"&amp;$D7,'16_calc_retrofit_finance'!$A$2:$A$14&amp;"|"&amp;'16_calc_retrofit_finance'!$C$2:$C$14,'16_calc_retrofit_finance'!$S$2:$S$14,"Not found")</f>
        <v>100000</v>
      </c>
      <c r="L7" t="str" cm="1">
        <f t="array" ref="L7">_xlfn.XLOOKUP($B7&amp;"|"&amp;$D7,'16_calc_retrofit_finance'!$A$2:$A$14&amp;"|"&amp;'16_calc_retrofit_finance'!$C$2:$C$14,'16_calc_retrofit_finance'!$T$2:$T$14,"Not found")</f>
        <v>Low</v>
      </c>
      <c r="M7" s="15" t="str" cm="1">
        <f t="array" ref="M7">_xlfn.XLOOKUP($B7&amp;"|"&amp;$D7,'16_calc_retrofit_finance'!$A$2:$A$14&amp;"|"&amp;'16_calc_retrofit_finance'!$C$2:$C$14,'16_calc_retrofit_finance'!$U$2:$U$14,"Not found")</f>
        <v>Medium Priority</v>
      </c>
      <c r="N7" s="20" t="str">
        <f t="shared" si="1"/>
        <v>Include in operating improvement plan</v>
      </c>
    </row>
    <row r="8" spans="1:21" ht="57">
      <c r="A8" s="33">
        <v>6</v>
      </c>
      <c r="B8" s="15" t="s">
        <v>31</v>
      </c>
      <c r="C8" s="31" t="str">
        <f>_xlfn.XLOOKUP(B8,'01_input_asset_master'!A$2:A$11,'01_input_asset_master'!B$2:B$11)</f>
        <v>South Park Apartments</v>
      </c>
      <c r="D8" s="15" t="s">
        <v>1176</v>
      </c>
      <c r="E8" s="20" t="str">
        <f t="shared" si="0"/>
        <v>Waste + diversion</v>
      </c>
      <c r="F8" cm="1">
        <f t="array" ref="F8">_xlfn.XLOOKUP($B8&amp;"|"&amp;$D8,'16_calc_retrofit_finance'!$A$2:$A$14&amp;"|"&amp;'16_calc_retrofit_finance'!$C$2:$C$14,'16_calc_retrofit_finance'!$G$2:$G$14,"Not found")</f>
        <v>15000</v>
      </c>
      <c r="G8" cm="1">
        <f t="array" ref="G8">_xlfn.XLOOKUP($B8&amp;"|"&amp;$D8,'16_calc_retrofit_finance'!$A$2:$A$14&amp;"|"&amp;'16_calc_retrofit_finance'!$C$2:$C$14,'16_calc_retrofit_finance'!$N$2:$N$14,"Not found")</f>
        <v>5000</v>
      </c>
      <c r="H8" cm="1">
        <f t="array" ref="H8">_xlfn.XLOOKUP($B8&amp;"|"&amp;$D8,'16_calc_retrofit_finance'!$A$2:$A$14&amp;"|"&amp;'16_calc_retrofit_finance'!$C$2:$C$14,'16_calc_retrofit_finance'!$P$2:$P$14,"Not found")</f>
        <v>3</v>
      </c>
      <c r="I8" cm="1">
        <f t="array" ref="I8">_xlfn.XLOOKUP($B8&amp;"|"&amp;$D8,'16_calc_retrofit_finance'!$A$2:$A$14&amp;"|"&amp;'16_calc_retrofit_finance'!$C$2:$C$14,'16_calc_retrofit_finance'!$O$2:$O$14,"Not found")</f>
        <v>0</v>
      </c>
      <c r="J8" s="15" t="str" cm="1">
        <f t="array" ref="J8">_xlfn.XLOOKUP($B8&amp;"|"&amp;$D8,'16_calc_retrofit_finance'!$A$2:$A$14&amp;"|"&amp;'16_calc_retrofit_finance'!$C$2:$C$14,'16_calc_retrofit_finance'!$Q$2:$Q$14,"Not found")</f>
        <v>No emissions reduction</v>
      </c>
      <c r="K8" s="18" cm="1">
        <f t="array" ref="K8">_xlfn.XLOOKUP($B8&amp;"|"&amp;$D8,'16_calc_retrofit_finance'!$A$2:$A$14&amp;"|"&amp;'16_calc_retrofit_finance'!$C$2:$C$14,'16_calc_retrofit_finance'!$S$2:$S$14,"Not found")</f>
        <v>100000</v>
      </c>
      <c r="L8" t="str" cm="1">
        <f t="array" ref="L8">_xlfn.XLOOKUP($B8&amp;"|"&amp;$D8,'16_calc_retrofit_finance'!$A$2:$A$14&amp;"|"&amp;'16_calc_retrofit_finance'!$C$2:$C$14,'16_calc_retrofit_finance'!$T$2:$T$14,"Not found")</f>
        <v>Low</v>
      </c>
      <c r="M8" s="15" t="str" cm="1">
        <f t="array" ref="M8">_xlfn.XLOOKUP($B8&amp;"|"&amp;$D8,'16_calc_retrofit_finance'!$A$2:$A$14&amp;"|"&amp;'16_calc_retrofit_finance'!$C$2:$C$14,'16_calc_retrofit_finance'!$U$2:$U$14,"Not found")</f>
        <v>Medium Priority</v>
      </c>
      <c r="N8" s="20" t="str">
        <f t="shared" si="1"/>
        <v>Include in operating improvement plan</v>
      </c>
    </row>
    <row r="9" spans="1:21" ht="57">
      <c r="A9" s="33">
        <v>6</v>
      </c>
      <c r="B9" s="15" t="s">
        <v>43</v>
      </c>
      <c r="C9" s="31" t="str">
        <f>_xlfn.XLOOKUP(B9,'01_input_asset_master'!A$2:A$11,'01_input_asset_master'!B$2:B$11)</f>
        <v>Harbor Point Apartments</v>
      </c>
      <c r="D9" s="15" t="s">
        <v>1176</v>
      </c>
      <c r="E9" s="20" t="str">
        <f t="shared" si="0"/>
        <v>Waste + diversion</v>
      </c>
      <c r="F9" cm="1">
        <f t="array" ref="F9">_xlfn.XLOOKUP($B9&amp;"|"&amp;$D9,'16_calc_retrofit_finance'!$A$2:$A$14&amp;"|"&amp;'16_calc_retrofit_finance'!$C$2:$C$14,'16_calc_retrofit_finance'!$G$2:$G$14,"Not found")</f>
        <v>15000</v>
      </c>
      <c r="G9" cm="1">
        <f t="array" ref="G9">_xlfn.XLOOKUP($B9&amp;"|"&amp;$D9,'16_calc_retrofit_finance'!$A$2:$A$14&amp;"|"&amp;'16_calc_retrofit_finance'!$C$2:$C$14,'16_calc_retrofit_finance'!$N$2:$N$14,"Not found")</f>
        <v>5000</v>
      </c>
      <c r="H9" cm="1">
        <f t="array" ref="H9">_xlfn.XLOOKUP($B9&amp;"|"&amp;$D9,'16_calc_retrofit_finance'!$A$2:$A$14&amp;"|"&amp;'16_calc_retrofit_finance'!$C$2:$C$14,'16_calc_retrofit_finance'!$P$2:$P$14,"Not found")</f>
        <v>3</v>
      </c>
      <c r="I9" cm="1">
        <f t="array" ref="I9">_xlfn.XLOOKUP($B9&amp;"|"&amp;$D9,'16_calc_retrofit_finance'!$A$2:$A$14&amp;"|"&amp;'16_calc_retrofit_finance'!$C$2:$C$14,'16_calc_retrofit_finance'!$O$2:$O$14,"Not found")</f>
        <v>0</v>
      </c>
      <c r="J9" s="15" t="str" cm="1">
        <f t="array" ref="J9">_xlfn.XLOOKUP($B9&amp;"|"&amp;$D9,'16_calc_retrofit_finance'!$A$2:$A$14&amp;"|"&amp;'16_calc_retrofit_finance'!$C$2:$C$14,'16_calc_retrofit_finance'!$Q$2:$Q$14,"Not found")</f>
        <v>No emissions reduction</v>
      </c>
      <c r="K9" s="18" cm="1">
        <f t="array" ref="K9">_xlfn.XLOOKUP($B9&amp;"|"&amp;$D9,'16_calc_retrofit_finance'!$A$2:$A$14&amp;"|"&amp;'16_calc_retrofit_finance'!$C$2:$C$14,'16_calc_retrofit_finance'!$S$2:$S$14,"Not found")</f>
        <v>100000</v>
      </c>
      <c r="L9" t="str" cm="1">
        <f t="array" ref="L9">_xlfn.XLOOKUP($B9&amp;"|"&amp;$D9,'16_calc_retrofit_finance'!$A$2:$A$14&amp;"|"&amp;'16_calc_retrofit_finance'!$C$2:$C$14,'16_calc_retrofit_finance'!$T$2:$T$14,"Not found")</f>
        <v>Low</v>
      </c>
      <c r="M9" s="15" t="str" cm="1">
        <f t="array" ref="M9">_xlfn.XLOOKUP($B9&amp;"|"&amp;$D9,'16_calc_retrofit_finance'!$A$2:$A$14&amp;"|"&amp;'16_calc_retrofit_finance'!$C$2:$C$14,'16_calc_retrofit_finance'!$U$2:$U$14,"Not found")</f>
        <v>Medium Priority</v>
      </c>
      <c r="N9" s="20" t="str">
        <f t="shared" si="1"/>
        <v>Include in operating improvement plan</v>
      </c>
    </row>
    <row r="10" spans="1:21" ht="57">
      <c r="A10" s="33">
        <v>6</v>
      </c>
      <c r="B10" s="15" t="s">
        <v>24</v>
      </c>
      <c r="C10" s="31" t="str">
        <f>_xlfn.XLOOKUP(B10,'01_input_asset_master'!A$2:A$11,'01_input_asset_master'!B$2:B$11)</f>
        <v>Badger Ridge Homes</v>
      </c>
      <c r="D10" s="15" t="s">
        <v>1176</v>
      </c>
      <c r="E10" s="20" t="str">
        <f t="shared" si="0"/>
        <v>Waste + diversion</v>
      </c>
      <c r="F10" cm="1">
        <f t="array" ref="F10">_xlfn.XLOOKUP($B10&amp;"|"&amp;$D10,'16_calc_retrofit_finance'!$A$2:$A$14&amp;"|"&amp;'16_calc_retrofit_finance'!$C$2:$C$14,'16_calc_retrofit_finance'!$G$2:$G$14,"Not found")</f>
        <v>15000</v>
      </c>
      <c r="G10" cm="1">
        <f t="array" ref="G10">_xlfn.XLOOKUP($B10&amp;"|"&amp;$D10,'16_calc_retrofit_finance'!$A$2:$A$14&amp;"|"&amp;'16_calc_retrofit_finance'!$C$2:$C$14,'16_calc_retrofit_finance'!$N$2:$N$14,"Not found")</f>
        <v>5000</v>
      </c>
      <c r="H10" cm="1">
        <f t="array" ref="H10">_xlfn.XLOOKUP($B10&amp;"|"&amp;$D10,'16_calc_retrofit_finance'!$A$2:$A$14&amp;"|"&amp;'16_calc_retrofit_finance'!$C$2:$C$14,'16_calc_retrofit_finance'!$P$2:$P$14,"Not found")</f>
        <v>3</v>
      </c>
      <c r="I10" cm="1">
        <f t="array" ref="I10">_xlfn.XLOOKUP($B10&amp;"|"&amp;$D10,'16_calc_retrofit_finance'!$A$2:$A$14&amp;"|"&amp;'16_calc_retrofit_finance'!$C$2:$C$14,'16_calc_retrofit_finance'!$O$2:$O$14,"Not found")</f>
        <v>0</v>
      </c>
      <c r="J10" s="15" t="str" cm="1">
        <f t="array" ref="J10">_xlfn.XLOOKUP($B10&amp;"|"&amp;$D10,'16_calc_retrofit_finance'!$A$2:$A$14&amp;"|"&amp;'16_calc_retrofit_finance'!$C$2:$C$14,'16_calc_retrofit_finance'!$Q$2:$Q$14,"Not found")</f>
        <v>No emissions reduction</v>
      </c>
      <c r="K10" s="18" cm="1">
        <f t="array" ref="K10">_xlfn.XLOOKUP($B10&amp;"|"&amp;$D10,'16_calc_retrofit_finance'!$A$2:$A$14&amp;"|"&amp;'16_calc_retrofit_finance'!$C$2:$C$14,'16_calc_retrofit_finance'!$S$2:$S$14,"Not found")</f>
        <v>100000</v>
      </c>
      <c r="L10" t="str" cm="1">
        <f t="array" ref="L10">_xlfn.XLOOKUP($B10&amp;"|"&amp;$D10,'16_calc_retrofit_finance'!$A$2:$A$14&amp;"|"&amp;'16_calc_retrofit_finance'!$C$2:$C$14,'16_calc_retrofit_finance'!$T$2:$T$14,"Not found")</f>
        <v>Low</v>
      </c>
      <c r="M10" s="15" t="str" cm="1">
        <f t="array" ref="M10">_xlfn.XLOOKUP($B10&amp;"|"&amp;$D10,'16_calc_retrofit_finance'!$A$2:$A$14&amp;"|"&amp;'16_calc_retrofit_finance'!$C$2:$C$14,'16_calc_retrofit_finance'!$U$2:$U$14,"Not found")</f>
        <v>Medium Priority</v>
      </c>
      <c r="N10" s="20" t="str">
        <f t="shared" si="1"/>
        <v>Include in operating improvement plan</v>
      </c>
    </row>
    <row r="15" spans="1:21" ht="15">
      <c r="F15" s="46"/>
      <c r="G15" s="34"/>
      <c r="H15" s="34"/>
      <c r="I15" s="34"/>
    </row>
    <row r="16" spans="1:21">
      <c r="F16" s="45"/>
      <c r="G16" s="15"/>
      <c r="H16" s="15"/>
      <c r="I16" s="15"/>
    </row>
    <row r="17" spans="6:9">
      <c r="F17" s="45"/>
      <c r="G17" s="15"/>
      <c r="H17" s="15"/>
      <c r="I17" s="15"/>
    </row>
    <row r="18" spans="6:9">
      <c r="F18" s="45"/>
      <c r="G18" s="15"/>
      <c r="H18" s="15"/>
      <c r="I18" s="15"/>
    </row>
    <row r="19" spans="6:9">
      <c r="F19" s="45"/>
      <c r="G19" s="15"/>
      <c r="H19" s="15"/>
      <c r="I19" s="15"/>
    </row>
    <row r="20" spans="6:9">
      <c r="F20" s="45"/>
      <c r="G20" s="15"/>
      <c r="H20" s="15"/>
      <c r="I20" s="15"/>
    </row>
    <row r="21" spans="6:9">
      <c r="F21" s="45"/>
      <c r="G21" s="15"/>
      <c r="H21" s="15"/>
      <c r="I21" s="15"/>
    </row>
    <row r="22" spans="6:9">
      <c r="F22" s="45"/>
      <c r="G22" s="15"/>
      <c r="H22" s="15"/>
      <c r="I22" s="15"/>
    </row>
    <row r="23" spans="6:9">
      <c r="F23" s="45"/>
      <c r="G23" s="15"/>
      <c r="H23" s="15"/>
      <c r="I23" s="15"/>
    </row>
    <row r="24" spans="6:9">
      <c r="F24" s="45"/>
      <c r="G24" s="15"/>
      <c r="H24" s="15"/>
      <c r="I24" s="15"/>
    </row>
  </sheetData>
  <mergeCells count="1">
    <mergeCell ref="P2:U5"/>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12"/>
  <sheetViews>
    <sheetView workbookViewId="0"/>
  </sheetViews>
  <sheetFormatPr defaultRowHeight="14.25"/>
  <cols>
    <col min="1" max="1" width="16" customWidth="1"/>
    <col min="2" max="2" width="24" customWidth="1"/>
    <col min="3" max="3" width="28" customWidth="1"/>
    <col min="4" max="4" width="42" customWidth="1"/>
    <col min="5" max="5" width="28" customWidth="1"/>
    <col min="6" max="6" width="45" customWidth="1"/>
    <col min="7" max="26" width="18" customWidth="1"/>
  </cols>
  <sheetData>
    <row r="1" spans="1:11" ht="30">
      <c r="A1" s="1" t="s">
        <v>958</v>
      </c>
      <c r="B1" s="1" t="s">
        <v>959</v>
      </c>
      <c r="C1" s="1" t="s">
        <v>960</v>
      </c>
      <c r="D1" s="1" t="s">
        <v>961</v>
      </c>
      <c r="E1" s="1" t="s">
        <v>962</v>
      </c>
      <c r="F1" s="1" t="s">
        <v>963</v>
      </c>
      <c r="G1" s="1" t="s">
        <v>964</v>
      </c>
      <c r="H1" s="1" t="s">
        <v>965</v>
      </c>
      <c r="I1" s="1" t="s">
        <v>966</v>
      </c>
      <c r="J1" s="1" t="s">
        <v>75</v>
      </c>
      <c r="K1" s="1" t="s">
        <v>110</v>
      </c>
    </row>
    <row r="2" spans="1:11" ht="85.5">
      <c r="A2" s="3" t="s">
        <v>967</v>
      </c>
      <c r="B2" s="3" t="s">
        <v>968</v>
      </c>
      <c r="C2" s="3" t="s">
        <v>969</v>
      </c>
      <c r="D2" s="3" t="s">
        <v>970</v>
      </c>
      <c r="E2" s="3" t="s">
        <v>971</v>
      </c>
      <c r="F2" s="3" t="s">
        <v>76</v>
      </c>
      <c r="G2" s="3" t="s">
        <v>972</v>
      </c>
      <c r="H2" s="3" t="s">
        <v>973</v>
      </c>
      <c r="I2" s="3" t="s">
        <v>392</v>
      </c>
      <c r="J2" s="3" t="s">
        <v>974</v>
      </c>
      <c r="K2" s="3" t="s">
        <v>232</v>
      </c>
    </row>
    <row r="3" spans="1:11" ht="85.5">
      <c r="A3" s="3" t="s">
        <v>975</v>
      </c>
      <c r="B3" s="3" t="s">
        <v>968</v>
      </c>
      <c r="C3" s="3" t="s">
        <v>976</v>
      </c>
      <c r="D3" s="3" t="s">
        <v>977</v>
      </c>
      <c r="E3" s="3" t="s">
        <v>978</v>
      </c>
      <c r="F3" s="3" t="s">
        <v>76</v>
      </c>
      <c r="G3" s="3" t="s">
        <v>979</v>
      </c>
      <c r="H3" s="3" t="s">
        <v>980</v>
      </c>
      <c r="I3" s="3" t="s">
        <v>392</v>
      </c>
      <c r="J3" s="3" t="s">
        <v>981</v>
      </c>
      <c r="K3" s="3" t="s">
        <v>232</v>
      </c>
    </row>
    <row r="4" spans="1:11" ht="85.5">
      <c r="A4" s="3" t="s">
        <v>982</v>
      </c>
      <c r="B4" s="3" t="s">
        <v>983</v>
      </c>
      <c r="C4" s="3" t="s">
        <v>984</v>
      </c>
      <c r="D4" s="3" t="s">
        <v>985</v>
      </c>
      <c r="E4" s="3" t="s">
        <v>971</v>
      </c>
      <c r="F4" s="3" t="s">
        <v>76</v>
      </c>
      <c r="G4" s="3" t="s">
        <v>986</v>
      </c>
      <c r="H4" s="3" t="s">
        <v>987</v>
      </c>
      <c r="I4" s="3" t="s">
        <v>392</v>
      </c>
      <c r="J4" s="3" t="s">
        <v>988</v>
      </c>
      <c r="K4" s="3" t="s">
        <v>232</v>
      </c>
    </row>
    <row r="5" spans="1:11" ht="85.5">
      <c r="A5" s="3" t="s">
        <v>989</v>
      </c>
      <c r="B5" s="3" t="s">
        <v>983</v>
      </c>
      <c r="C5" s="3" t="s">
        <v>990</v>
      </c>
      <c r="D5" s="3" t="s">
        <v>991</v>
      </c>
      <c r="E5" s="3" t="s">
        <v>971</v>
      </c>
      <c r="F5" s="3" t="s">
        <v>76</v>
      </c>
      <c r="G5" s="3" t="s">
        <v>992</v>
      </c>
      <c r="H5" s="3" t="s">
        <v>987</v>
      </c>
      <c r="I5" s="3" t="s">
        <v>392</v>
      </c>
      <c r="J5" s="3" t="s">
        <v>993</v>
      </c>
      <c r="K5" s="3" t="s">
        <v>232</v>
      </c>
    </row>
    <row r="6" spans="1:11" ht="57">
      <c r="A6" s="3" t="s">
        <v>994</v>
      </c>
      <c r="B6" s="3" t="s">
        <v>995</v>
      </c>
      <c r="C6" s="3" t="s">
        <v>996</v>
      </c>
      <c r="D6" s="3" t="s">
        <v>997</v>
      </c>
      <c r="E6" s="3" t="s">
        <v>998</v>
      </c>
      <c r="F6" s="3" t="s">
        <v>76</v>
      </c>
      <c r="G6" s="3" t="s">
        <v>999</v>
      </c>
      <c r="H6" s="3" t="s">
        <v>1000</v>
      </c>
      <c r="I6" s="3" t="s">
        <v>392</v>
      </c>
      <c r="J6" s="3" t="s">
        <v>1001</v>
      </c>
      <c r="K6" s="3" t="s">
        <v>1002</v>
      </c>
    </row>
    <row r="7" spans="1:11" ht="42.75">
      <c r="A7" s="3" t="s">
        <v>1003</v>
      </c>
      <c r="B7" s="3" t="s">
        <v>995</v>
      </c>
      <c r="C7" s="3" t="s">
        <v>1004</v>
      </c>
      <c r="D7" s="3" t="s">
        <v>1005</v>
      </c>
      <c r="E7" s="3" t="s">
        <v>998</v>
      </c>
      <c r="F7" s="3" t="s">
        <v>76</v>
      </c>
      <c r="G7" s="3" t="s">
        <v>1006</v>
      </c>
      <c r="H7" s="3" t="s">
        <v>1000</v>
      </c>
      <c r="I7" s="3" t="s">
        <v>392</v>
      </c>
      <c r="J7" s="3" t="s">
        <v>1007</v>
      </c>
      <c r="K7" s="3" t="s">
        <v>247</v>
      </c>
    </row>
    <row r="8" spans="1:11" ht="71.25">
      <c r="A8" s="3" t="s">
        <v>1008</v>
      </c>
      <c r="B8" s="3" t="s">
        <v>995</v>
      </c>
      <c r="C8" s="3" t="s">
        <v>1009</v>
      </c>
      <c r="D8" s="3" t="s">
        <v>1010</v>
      </c>
      <c r="E8" s="3" t="s">
        <v>998</v>
      </c>
      <c r="F8" s="3" t="s">
        <v>76</v>
      </c>
      <c r="G8" s="3" t="s">
        <v>1011</v>
      </c>
      <c r="H8" s="3" t="s">
        <v>1000</v>
      </c>
      <c r="I8" s="3" t="s">
        <v>387</v>
      </c>
      <c r="J8" s="3" t="s">
        <v>1012</v>
      </c>
      <c r="K8" s="3" t="s">
        <v>1013</v>
      </c>
    </row>
    <row r="9" spans="1:11" ht="71.25">
      <c r="A9" s="3" t="s">
        <v>1014</v>
      </c>
      <c r="B9" s="3" t="s">
        <v>1015</v>
      </c>
      <c r="C9" s="3" t="s">
        <v>1016</v>
      </c>
      <c r="D9" s="3" t="s">
        <v>1017</v>
      </c>
      <c r="E9" s="3" t="s">
        <v>1018</v>
      </c>
      <c r="F9" s="3" t="s">
        <v>978</v>
      </c>
      <c r="G9" s="3" t="s">
        <v>1019</v>
      </c>
      <c r="H9" s="3" t="s">
        <v>1020</v>
      </c>
      <c r="I9" s="3" t="s">
        <v>392</v>
      </c>
      <c r="J9" s="3" t="s">
        <v>1021</v>
      </c>
      <c r="K9" s="3" t="s">
        <v>1022</v>
      </c>
    </row>
    <row r="10" spans="1:11" ht="85.5">
      <c r="A10" s="3" t="s">
        <v>1023</v>
      </c>
      <c r="B10" s="3" t="s">
        <v>1024</v>
      </c>
      <c r="C10" s="3" t="s">
        <v>1025</v>
      </c>
      <c r="D10" s="3" t="s">
        <v>1026</v>
      </c>
      <c r="E10" s="3" t="s">
        <v>971</v>
      </c>
      <c r="F10" s="3" t="s">
        <v>76</v>
      </c>
      <c r="G10" s="3" t="s">
        <v>1027</v>
      </c>
      <c r="H10" s="3" t="s">
        <v>1000</v>
      </c>
      <c r="I10" s="3" t="s">
        <v>387</v>
      </c>
      <c r="J10" s="3" t="s">
        <v>1028</v>
      </c>
      <c r="K10" s="3" t="s">
        <v>232</v>
      </c>
    </row>
    <row r="11" spans="1:11" ht="57">
      <c r="A11" s="3" t="s">
        <v>1029</v>
      </c>
      <c r="B11" s="3" t="s">
        <v>1030</v>
      </c>
      <c r="C11" s="3" t="s">
        <v>1031</v>
      </c>
      <c r="D11" s="3" t="s">
        <v>1032</v>
      </c>
      <c r="E11" s="3" t="s">
        <v>1033</v>
      </c>
      <c r="F11" s="3" t="s">
        <v>978</v>
      </c>
      <c r="G11" s="3" t="s">
        <v>1034</v>
      </c>
      <c r="H11" s="3" t="s">
        <v>1035</v>
      </c>
      <c r="I11" s="3" t="s">
        <v>392</v>
      </c>
      <c r="J11" s="3" t="s">
        <v>1036</v>
      </c>
      <c r="K11" s="3" t="s">
        <v>1037</v>
      </c>
    </row>
    <row r="12" spans="1:11" ht="42.75">
      <c r="A12" s="3" t="s">
        <v>1038</v>
      </c>
      <c r="B12" s="3" t="s">
        <v>1039</v>
      </c>
      <c r="C12" s="3" t="s">
        <v>1040</v>
      </c>
      <c r="D12" s="3" t="s">
        <v>1041</v>
      </c>
      <c r="E12" s="3" t="s">
        <v>971</v>
      </c>
      <c r="F12" s="3" t="s">
        <v>76</v>
      </c>
      <c r="G12" s="3" t="s">
        <v>1042</v>
      </c>
      <c r="H12" s="3" t="s">
        <v>1043</v>
      </c>
      <c r="I12" s="3" t="s">
        <v>413</v>
      </c>
      <c r="J12" s="3" t="s">
        <v>1044</v>
      </c>
      <c r="K12" s="3" t="s">
        <v>1045</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BE2A7-48DB-4567-B761-3F3A73FA07DD}">
  <dimension ref="A1:E7"/>
  <sheetViews>
    <sheetView tabSelected="1" workbookViewId="0">
      <selection activeCell="C19" sqref="C19"/>
    </sheetView>
  </sheetViews>
  <sheetFormatPr defaultRowHeight="14.25"/>
  <cols>
    <col min="1" max="5" width="22" customWidth="1"/>
  </cols>
  <sheetData>
    <row r="1" spans="1:5" ht="37.5">
      <c r="A1" s="49" t="s">
        <v>1188</v>
      </c>
      <c r="B1" s="49" t="s">
        <v>1064</v>
      </c>
      <c r="C1" s="49" t="s">
        <v>1189</v>
      </c>
      <c r="D1" s="49" t="s">
        <v>1190</v>
      </c>
      <c r="E1" s="49" t="s">
        <v>1191</v>
      </c>
    </row>
    <row r="2" spans="1:5" ht="42.75">
      <c r="A2" s="15" t="s">
        <v>1192</v>
      </c>
      <c r="B2" s="15" t="s">
        <v>1193</v>
      </c>
      <c r="C2" s="15" t="s">
        <v>1194</v>
      </c>
      <c r="D2" s="15" t="s">
        <v>1195</v>
      </c>
      <c r="E2" s="15" t="s">
        <v>1196</v>
      </c>
    </row>
    <row r="3" spans="1:5" ht="42.75">
      <c r="A3" s="15" t="s">
        <v>1197</v>
      </c>
      <c r="B3" s="15" t="s">
        <v>1198</v>
      </c>
      <c r="C3" s="15" t="s">
        <v>1199</v>
      </c>
      <c r="D3" s="15" t="s">
        <v>1200</v>
      </c>
      <c r="E3" s="15" t="s">
        <v>1201</v>
      </c>
    </row>
    <row r="4" spans="1:5" ht="28.5">
      <c r="A4" s="15" t="s">
        <v>242</v>
      </c>
      <c r="B4" s="15" t="s">
        <v>1202</v>
      </c>
      <c r="C4" s="15" t="s">
        <v>1203</v>
      </c>
      <c r="D4" s="15" t="s">
        <v>1204</v>
      </c>
      <c r="E4" s="15" t="s">
        <v>1205</v>
      </c>
    </row>
    <row r="5" spans="1:5" ht="28.5">
      <c r="A5" s="15" t="s">
        <v>251</v>
      </c>
      <c r="B5" s="15" t="s">
        <v>1206</v>
      </c>
      <c r="C5" s="15" t="s">
        <v>1207</v>
      </c>
      <c r="D5" s="15" t="s">
        <v>1208</v>
      </c>
      <c r="E5" s="15" t="s">
        <v>1209</v>
      </c>
    </row>
    <row r="6" spans="1:5" ht="42.75">
      <c r="A6" s="15" t="s">
        <v>1210</v>
      </c>
      <c r="B6" s="15" t="s">
        <v>1211</v>
      </c>
      <c r="C6" s="15" t="s">
        <v>1212</v>
      </c>
      <c r="D6" s="15" t="s">
        <v>1213</v>
      </c>
      <c r="E6" s="15" t="s">
        <v>1214</v>
      </c>
    </row>
    <row r="7" spans="1:5" ht="42.75">
      <c r="A7" s="15" t="s">
        <v>1215</v>
      </c>
      <c r="B7" s="15" t="s">
        <v>1216</v>
      </c>
      <c r="C7" s="15" t="s">
        <v>1217</v>
      </c>
      <c r="D7" s="15" t="s">
        <v>1218</v>
      </c>
      <c r="E7" s="15" t="s">
        <v>1219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66296DC-0ADC-42A8-AD33-2370A1F1500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01_input_asset_master</vt:lpstr>
      <vt:lpstr>02_input_energy_monthly</vt:lpstr>
      <vt:lpstr>11_calc_energy_summary</vt:lpstr>
      <vt:lpstr>03_input_water_monthly</vt:lpstr>
      <vt:lpstr>12_calc_water_summary</vt:lpstr>
      <vt:lpstr>04_input_waste_monthly</vt:lpstr>
      <vt:lpstr>13_calc_waste_summary</vt:lpstr>
      <vt:lpstr>05_input_emission_factors</vt:lpstr>
      <vt:lpstr>14_calc_emissions_summary</vt:lpstr>
      <vt:lpstr>06_input_benchmark_data</vt:lpstr>
      <vt:lpstr>15_calc_integrated_priority</vt:lpstr>
      <vt:lpstr>18_output_executive_summary</vt:lpstr>
      <vt:lpstr>07_input_community_acs</vt:lpstr>
      <vt:lpstr>08_input_climate_risk_fema</vt:lpstr>
      <vt:lpstr>09_input_ej_cejst</vt:lpstr>
      <vt:lpstr>10_input_retrofit_options</vt:lpstr>
      <vt:lpstr>16_calc_retrofit_finance</vt:lpstr>
      <vt:lpstr>17_output_investment_summary</vt:lpstr>
      <vt:lpstr>19_output_gresb_readiness</vt:lpstr>
      <vt:lpstr>20_output_dashboard_plan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Hadi Veisi</dc:creator>
  <cp:lastModifiedBy>Hadi Veisi</cp:lastModifiedBy>
  <dcterms:created xsi:type="dcterms:W3CDTF">2026-07-16T23:23:49Z</dcterms:created>
  <dcterms:modified xsi:type="dcterms:W3CDTF">2026-07-17T20:56:06Z</dcterms:modified>
</cp:coreProperties>
</file>